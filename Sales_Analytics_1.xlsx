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24e745dc455455ea/Desktop/Documents/My_Project_Data/Sales_Analytics_Data/"/>
    </mc:Choice>
  </mc:AlternateContent>
  <xr:revisionPtr revIDLastSave="3" documentId="13_ncr:1_{7A922FA4-BCB1-4CC7-A0C2-C37A85A563FE}" xr6:coauthVersionLast="47" xr6:coauthVersionMax="47" xr10:uidLastSave="{DD017B9D-DD23-4545-8BFA-9BACF909D1B6}"/>
  <bookViews>
    <workbookView xWindow="-108" yWindow="-108" windowWidth="23256" windowHeight="12456" activeTab="1" xr2:uid="{C152DBA6-D5A8-468F-AA27-E2B88B6650AC}"/>
  </bookViews>
  <sheets>
    <sheet name="Pivot Table " sheetId="1" r:id="rId1"/>
    <sheet name="Dashboard " sheetId="3" r:id="rId2"/>
  </sheets>
  <definedNames>
    <definedName name="Slicer_OrderDate__Year">#N/A</definedName>
    <definedName name="Slicer_Region">#N/A</definedName>
    <definedName name="Slicer_Status">#N/A</definedName>
  </definedNames>
  <calcPr calcId="191028"/>
  <pivotCaches>
    <pivotCache cacheId="201" r:id="rId3"/>
    <pivotCache cacheId="204" r:id="rId4"/>
    <pivotCache cacheId="207" r:id="rId5"/>
    <pivotCache cacheId="210" r:id="rId6"/>
    <pivotCache cacheId="213" r:id="rId7"/>
    <pivotCache cacheId="216" r:id="rId8"/>
    <pivotCache cacheId="219" r:id="rId9"/>
    <pivotCache cacheId="222" r:id="rId10"/>
    <pivotCache cacheId="225"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ransactions_a710bf9a-b4fa-4fbb-a109-cdd40f5cfd82" name="Sales_Transactions" connection="Query - Sales_Transactions"/>
          <x15:modelTable id="Customers_c2c6aeac-32c6-4a5d-8753-2ac46af4869d" name="Customers" connection="Query - Customers"/>
          <x15:modelTable id="Products_81a5d73e-ef51-4069-863b-4a7270f4745e" name="Products" connection="Query - Products"/>
        </x15:modelTables>
        <x15:modelRelationships>
          <x15:modelRelationship fromTable="Sales_Transactions" fromColumn="CustomerID" toTable="Customers" toColumn="CustomerID"/>
          <x15:modelRelationship fromTable="Sales_Transactions" fromColumn="ProductID" toTable="Products" toColumn="ProductID"/>
        </x15:modelRelationships>
        <x15:extLst>
          <ext xmlns:x16="http://schemas.microsoft.com/office/spreadsheetml/2014/11/main" uri="{9835A34E-60A6-4A7C-AAB8-D5F71C897F49}">
            <x16:modelTimeGroupings>
              <x16:modelTimeGrouping tableName="Sales_Transaction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63D698-51A2-446A-A448-9F3C28ECB440}" name="Query - Customers" description="Connection to the 'Customers' query in the workbook." type="100" refreshedVersion="8" minRefreshableVersion="5">
    <extLst>
      <ext xmlns:x15="http://schemas.microsoft.com/office/spreadsheetml/2010/11/main" uri="{DE250136-89BD-433C-8126-D09CA5730AF9}">
        <x15:connection id="74ebdaaf-7762-4117-9706-e4585abd5078"/>
      </ext>
    </extLst>
  </connection>
  <connection id="2" xr16:uid="{BBC8E257-2B5C-4ABD-A649-25CB6CE82645}" name="Query - Products" description="Connection to the 'Products' query in the workbook." type="100" refreshedVersion="8" minRefreshableVersion="5">
    <extLst>
      <ext xmlns:x15="http://schemas.microsoft.com/office/spreadsheetml/2010/11/main" uri="{DE250136-89BD-433C-8126-D09CA5730AF9}">
        <x15:connection id="c840b93d-2617-47c8-9e16-8c539ac17649"/>
      </ext>
    </extLst>
  </connection>
  <connection id="3" xr16:uid="{37A1FA06-4E06-45F5-B786-E03E09D977EA}" name="Query - Sales_Transactions" description="Connection to the 'Sales_Transactions' query in the workbook." type="100" refreshedVersion="8" minRefreshableVersion="5">
    <extLst>
      <ext xmlns:x15="http://schemas.microsoft.com/office/spreadsheetml/2010/11/main" uri="{DE250136-89BD-433C-8126-D09CA5730AF9}">
        <x15:connection id="6b9f5c69-65e4-461b-8fe3-f5537d5c63c0"/>
      </ext>
    </extLst>
  </connection>
  <connection id="4" xr16:uid="{D427C447-AC3D-4ACD-8F8C-DBB15DC4E7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<sst xmlns="http://schemas.openxmlformats.org/spreadsheetml/2006/main" count="45" uniqueCount="32">
  <si>
    <t>Row Labels</t>
  </si>
  <si>
    <t>Total Sales</t>
  </si>
  <si>
    <t>Ahmed Hassan</t>
  </si>
  <si>
    <t>Completed</t>
  </si>
  <si>
    <t>East</t>
  </si>
  <si>
    <t>Dina Kamal</t>
  </si>
  <si>
    <t>Pending</t>
  </si>
  <si>
    <t>Khalid Al-Rashid</t>
  </si>
  <si>
    <t>Cancelled</t>
  </si>
  <si>
    <t>Layla Ahmed</t>
  </si>
  <si>
    <t>Refunded</t>
  </si>
  <si>
    <t>Nour Ibrahim</t>
  </si>
  <si>
    <t>Omar Farouk</t>
  </si>
  <si>
    <t>Grand Total</t>
  </si>
  <si>
    <t>Sara Mohamed</t>
  </si>
  <si>
    <t>Youssef Nabil</t>
  </si>
  <si>
    <t>Average Sales Price</t>
  </si>
  <si>
    <t>Conference Table 8-Seat</t>
  </si>
  <si>
    <t>2024</t>
  </si>
  <si>
    <t>CRM License 1yr</t>
  </si>
  <si>
    <t>Total Orders</t>
  </si>
  <si>
    <t>Standing Desk 140cm</t>
  </si>
  <si>
    <t>Top Sales</t>
  </si>
  <si>
    <t>2023</t>
  </si>
  <si>
    <t>Consulting Day</t>
  </si>
  <si>
    <t>Laptop Pro 15"</t>
  </si>
  <si>
    <t>Central</t>
  </si>
  <si>
    <t>Gulf</t>
  </si>
  <si>
    <t>North</t>
  </si>
  <si>
    <t>South</t>
  </si>
  <si>
    <t>West</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</si>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</sst>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quot;$&quot;#,##0.00"/>
  </numFmts>
  <fonts count="1" x14ac:knownFonts="1">
    <font>
      <sz val="11"/>
      <color theme="1"/>
      <name val="Calibri"/>
      <family val="2"/>
      <charset val="178"/>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0" fillId="0" borderId="0" xfId="0" applyNumberFormat="1"/>
  </cellXfs>
  <cellStyles count="1">
    <cellStyle name="Normal" xfId="0" builtinId="0"/>
  </cellStyles>
  <dxfs count="23">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font>
        <b/>
        <i val="0"/>
        <sz val="10"/>
        <color theme="0"/>
      </font>
      <fill>
        <patternFill>
          <bgColor theme="4" tint="-0.499984740745262"/>
        </patternFill>
      </fill>
    </dxf>
    <dxf>
      <font>
        <color theme="4" tint="-0.499984740745262"/>
      </font>
      <fill>
        <patternFill>
          <bgColor theme="0"/>
        </patternFill>
      </fill>
      <border>
        <top/>
        <horizontal/>
      </border>
    </dxf>
    <dxf>
      <font>
        <b/>
        <i val="0"/>
        <sz val="10"/>
        <color theme="0"/>
      </font>
      <fill>
        <patternFill>
          <bgColor theme="4" tint="-0.499984740745262"/>
        </patternFill>
      </fill>
    </dxf>
    <dxf>
      <font>
        <color theme="4" tint="-0.499984740745262"/>
      </font>
      <fill>
        <patternFill>
          <bgColor theme="0"/>
        </patternFill>
      </fill>
      <border diagonalUp="0" diagonalDown="0">
        <left/>
        <right/>
        <top/>
        <bottom/>
        <vertical/>
        <horizontal/>
      </border>
    </dxf>
    <dxf>
      <font>
        <color theme="4" tint="-0.499984740745262"/>
      </font>
      <fill>
        <patternFill>
          <bgColor theme="0"/>
        </patternFill>
      </fill>
      <border diagonalUp="0" diagonalDown="0">
        <left/>
        <right/>
        <top/>
        <bottom/>
        <vertical/>
        <horizontal/>
      </border>
    </dxf>
  </dxfs>
  <tableStyles count="3" defaultTableStyle="TableStyleMedium2" defaultPivotStyle="PivotStyleLight16">
    <tableStyle name="Professional Blue" pivot="0" table="0" count="1" xr9:uid="{B5E5C3DE-3F10-4596-B0F3-2316056BA563}">
      <tableStyleElement type="wholeTable" dxfId="22"/>
    </tableStyle>
    <tableStyle name="Slicer Style 1" pivot="0" table="0" count="2" xr9:uid="{81D63AAB-E91F-4914-8C1F-17997B492735}">
      <tableStyleElement type="wholeTable" dxfId="21"/>
      <tableStyleElement type="headerRow" dxfId="20"/>
    </tableStyle>
    <tableStyle name="Slicer Style 2" pivot="0" table="0" count="4" xr9:uid="{F90055E9-2681-44DD-9655-3B234DEC5DB4}">
      <tableStyleElement type="wholeTable" dxfId="19"/>
      <tableStyleElement type="headerRow" dxfId="18"/>
    </tableStyle>
  </tableStyles>
  <extLst>
    <ext xmlns:x14="http://schemas.microsoft.com/office/spreadsheetml/2009/9/main" uri="{46F421CA-312F-682f-3DD2-61675219B42D}">
      <x14:dxfs count="2">
        <dxf>
          <font>
            <b/>
            <i val="0"/>
            <color theme="0"/>
          </font>
          <fill>
            <patternFill>
              <bgColor theme="4" tint="-0.499984740745262"/>
            </patternFill>
          </fill>
        </dxf>
        <dxf>
          <font>
            <color theme="4" tint="-0.499984740745262"/>
          </font>
          <fill>
            <patternFill>
              <bgColor theme="4" tint="0.79998168889431442"/>
            </patternFill>
          </fill>
        </dxf>
      </x14:dxfs>
    </ext>
    <ext xmlns:x14="http://schemas.microsoft.com/office/spreadsheetml/2009/9/main" uri="{EB79DEF2-80B8-43e5-95BD-54CBDDF9020C}">
      <x14:slicerStyles defaultSlicerStyle="SlicerStyleLight1">
        <x14:slicerStyle name="Professional Blue"/>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pivotCacheDefinition" Target="pivotCache/pivotCacheDefinition1.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51"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[Mariam_Mostafa_Assignment.xlsx]Pivot Table !PivotTable1</c:name>
    <c:fmtId val="2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tOp</a:t>
            </a:r>
            <a:r>
              <a:rPr lang="en-US" baseline="0"/>
              <a:t> sales regions</a:t>
            </a:r>
            <a:endParaRPr lang="en-US"/>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pivotFmt>
      <c:pivotFmt>
        <c:idx val="10"/>
        <c:spPr>
          <a:solidFill>
            <a:schemeClr val="accent1"/>
          </a:solidFill>
          <a:ln>
            <a:noFill/>
          </a:ln>
          <a:effectLst>
            <a:outerShdw blurRad="63500" sx="102000" sy="102000" algn="ctr" rotWithShape="0">
              <a:prstClr val="black">
                <a:alpha val="20000"/>
              </a:prstClr>
            </a:outerShdw>
          </a:effectLst>
        </c:spPr>
      </c:pivotFmt>
      <c:pivotFmt>
        <c:idx val="11"/>
        <c:spPr>
          <a:solidFill>
            <a:schemeClr val="accent1"/>
          </a:solidFill>
          <a:ln>
            <a:noFill/>
          </a:ln>
          <a:effectLst>
            <a:outerShdw blurRad="63500" sx="102000" sy="102000" algn="ctr" rotWithShape="0">
              <a:prstClr val="black">
                <a:alpha val="20000"/>
              </a:prstClr>
            </a:outerShdw>
          </a:effectLst>
        </c:spPr>
      </c:pivotFmt>
      <c:pivotFmt>
        <c:idx val="12"/>
        <c:spPr>
          <a:solidFill>
            <a:schemeClr val="accent1"/>
          </a:solidFill>
          <a:ln>
            <a:noFill/>
          </a:ln>
          <a:effectLst>
            <a:outerShdw blurRad="63500" sx="102000" sy="102000" algn="ctr" rotWithShape="0">
              <a:prstClr val="black">
                <a:alpha val="20000"/>
              </a:prstClr>
            </a:outerShdw>
          </a:effectLst>
        </c:spPr>
      </c:pivotFmt>
      <c:pivotFmt>
        <c:idx val="13"/>
        <c:spPr>
          <a:solidFill>
            <a:schemeClr val="accent1"/>
          </a:solidFill>
          <a:ln>
            <a:noFill/>
          </a:ln>
          <a:effectLst>
            <a:outerShdw blurRad="63500" sx="102000" sy="102000" algn="ctr" rotWithShape="0">
              <a:prstClr val="black">
                <a:alpha val="20000"/>
              </a:prstClr>
            </a:outerShdw>
          </a:effectLst>
        </c:spPr>
      </c:pivotFmt>
      <c:pivotFmt>
        <c:idx val="14"/>
        <c:spPr>
          <a:solidFill>
            <a:schemeClr val="accent1"/>
          </a:solidFill>
          <a:ln>
            <a:noFill/>
          </a:ln>
          <a:effectLst>
            <a:outerShdw blurRad="63500" sx="102000" sy="102000" algn="ctr" rotWithShape="0">
              <a:prstClr val="black">
                <a:alpha val="20000"/>
              </a:prstClr>
            </a:outerShdw>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pivotFmt>
      <c:pivotFmt>
        <c:idx val="17"/>
        <c:spPr>
          <a:solidFill>
            <a:schemeClr val="accent1"/>
          </a:solidFill>
          <a:ln>
            <a:noFill/>
          </a:ln>
          <a:effectLst>
            <a:outerShdw blurRad="63500" sx="102000" sy="102000" algn="ctr" rotWithShape="0">
              <a:prstClr val="black">
                <a:alpha val="20000"/>
              </a:prstClr>
            </a:outerShdw>
          </a:effectLst>
        </c:spPr>
      </c:pivotFmt>
      <c:pivotFmt>
        <c:idx val="18"/>
        <c:spPr>
          <a:solidFill>
            <a:schemeClr val="accent1"/>
          </a:solidFill>
          <a:ln>
            <a:noFill/>
          </a:ln>
          <a:effectLst>
            <a:outerShdw blurRad="63500" sx="102000" sy="102000" algn="ctr" rotWithShape="0">
              <a:prstClr val="black">
                <a:alpha val="20000"/>
              </a:prstClr>
            </a:outerShdw>
          </a:effectLst>
        </c:spPr>
      </c:pivotFmt>
      <c:pivotFmt>
        <c:idx val="19"/>
        <c:spPr>
          <a:solidFill>
            <a:schemeClr val="accent1"/>
          </a:solidFill>
          <a:ln>
            <a:noFill/>
          </a:ln>
          <a:effectLst>
            <a:outerShdw blurRad="63500" sx="102000" sy="102000" algn="ctr" rotWithShape="0">
              <a:prstClr val="black">
                <a:alpha val="20000"/>
              </a:prstClr>
            </a:outerShdw>
          </a:effectLst>
        </c:spPr>
      </c:pivotFmt>
      <c:pivotFmt>
        <c:idx val="20"/>
        <c:spPr>
          <a:solidFill>
            <a:schemeClr val="accent1"/>
          </a:solidFill>
          <a:ln>
            <a:noFill/>
          </a:ln>
          <a:effectLst>
            <a:outerShdw blurRad="63500" sx="102000" sy="102000" algn="ctr" rotWithShape="0">
              <a:prstClr val="black">
                <a:alpha val="20000"/>
              </a:prstClr>
            </a:outerShdw>
          </a:effectLst>
        </c:spPr>
      </c:pivotFmt>
      <c:pivotFmt>
        <c:idx val="21"/>
        <c:spPr>
          <a:solidFill>
            <a:schemeClr val="accent1"/>
          </a:solidFill>
          <a:ln>
            <a:noFill/>
          </a:ln>
          <a:effectLst>
            <a:outerShdw blurRad="63500" sx="102000" sy="102000" algn="ctr" rotWithShape="0">
              <a:prstClr val="black">
                <a:alpha val="20000"/>
              </a:prstClr>
            </a:outerShdw>
          </a:effectLst>
        </c:spPr>
      </c:pivotFmt>
      <c:pivotFmt>
        <c:idx val="22"/>
        <c:spPr>
          <a:solidFill>
            <a:schemeClr val="accent1"/>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50800" dist="50800" dir="5400000" sx="1000" sy="1000" algn="ctr" rotWithShape="0">
              <a:srgbClr val="000000">
                <a:alpha val="43137"/>
              </a:srgbClr>
            </a:outerShdw>
          </a:effectLst>
        </c:spPr>
      </c:pivotFmt>
      <c:pivotFmt>
        <c:idx val="24"/>
        <c:spPr>
          <a:solidFill>
            <a:schemeClr val="accent1"/>
          </a:solidFill>
          <a:ln>
            <a:noFill/>
          </a:ln>
          <a:effectLst>
            <a:outerShdw blurRad="50800" dist="50800" dir="5400000" sx="1000" sy="1000" algn="ctr" rotWithShape="0">
              <a:srgbClr val="000000">
                <a:alpha val="43137"/>
              </a:srgbClr>
            </a:outerShdw>
          </a:effectLst>
        </c:spPr>
      </c:pivotFmt>
      <c:pivotFmt>
        <c:idx val="25"/>
        <c:spPr>
          <a:solidFill>
            <a:schemeClr val="accent1"/>
          </a:solidFill>
          <a:ln>
            <a:noFill/>
          </a:ln>
          <a:effectLst>
            <a:outerShdw blurRad="50800" dist="50800" dir="5400000" sx="1000" sy="1000" algn="ctr" rotWithShape="0">
              <a:srgbClr val="000000">
                <a:alpha val="43137"/>
              </a:srgbClr>
            </a:outerShdw>
          </a:effectLst>
        </c:spPr>
      </c:pivotFmt>
      <c:pivotFmt>
        <c:idx val="26"/>
        <c:spPr>
          <a:solidFill>
            <a:schemeClr val="accent1"/>
          </a:solidFill>
          <a:ln>
            <a:noFill/>
          </a:ln>
          <a:effectLst>
            <a:outerShdw blurRad="50800" dist="50800" dir="5400000" sx="1000" sy="1000" algn="ctr" rotWithShape="0">
              <a:srgbClr val="000000">
                <a:alpha val="43137"/>
              </a:srgbClr>
            </a:outerShdw>
          </a:effectLst>
        </c:spPr>
      </c:pivotFmt>
      <c:pivotFmt>
        <c:idx val="27"/>
        <c:spPr>
          <a:solidFill>
            <a:schemeClr val="accent1"/>
          </a:solidFill>
          <a:ln>
            <a:noFill/>
          </a:ln>
          <a:effectLst>
            <a:outerShdw blurRad="50800" dist="50800" dir="5400000" sx="1000" sy="1000" algn="ctr" rotWithShape="0">
              <a:srgbClr val="000000">
                <a:alpha val="43137"/>
              </a:srgbClr>
            </a:outerShdw>
          </a:effectLst>
        </c:spPr>
      </c:pivotFmt>
      <c:pivotFmt>
        <c:idx val="28"/>
        <c:spPr>
          <a:solidFill>
            <a:schemeClr val="accent1"/>
          </a:solidFill>
          <a:ln>
            <a:noFill/>
          </a:ln>
          <a:effectLst>
            <a:outerShdw blurRad="50800" dist="50800" dir="5400000" sx="1000" sy="1000" algn="ctr" rotWithShape="0">
              <a:srgbClr val="000000">
                <a:alpha val="43137"/>
              </a:srgbClr>
            </a:outerShdw>
          </a:effectLst>
        </c:spPr>
      </c:pivotFmt>
    </c:pivotFmts>
    <c:plotArea>
      <c:layout>
        <c:manualLayout>
          <c:layoutTarget val="inner"/>
          <c:xMode val="edge"/>
          <c:yMode val="edge"/>
          <c:x val="0.34777204503891768"/>
          <c:y val="0.16233033359039112"/>
          <c:w val="0.28111572109147442"/>
          <c:h val="0.75940715635622247"/>
        </c:manualLayout>
      </c:layout>
      <c:doughnutChart>
        <c:varyColors val="1"/>
        <c:ser>
          <c:idx val="0"/>
          <c:order val="0"/>
          <c:tx>
            <c:strRef>
              <c:f>'Pivot Table '!$D$2</c:f>
              <c:strCache>
                <c:ptCount val="1"/>
                <c:pt idx="0">
                  <c:v>Total</c:v>
                </c:pt>
              </c:strCache>
            </c:strRef>
          </c:tx>
          <c:spPr>
            <a:effectLst>
              <a:outerShdw blurRad="50800" dist="50800" dir="5400000" sx="1000" sy="1000" algn="ctr" rotWithShape="0">
                <a:srgbClr val="000000">
                  <a:alpha val="43137"/>
                </a:srgbClr>
              </a:outerShdw>
            </a:effectLst>
          </c:spPr>
          <c:explosion val="1"/>
          <c:dPt>
            <c:idx val="0"/>
            <c:bubble3D val="0"/>
            <c:spPr>
              <a:solidFill>
                <a:schemeClr val="accent1"/>
              </a:solidFill>
              <a:ln>
                <a:no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7960-4D22-A327-648C36F4DEBE}"/>
              </c:ext>
            </c:extLst>
          </c:dPt>
          <c:dPt>
            <c:idx val="1"/>
            <c:bubble3D val="0"/>
            <c:spPr>
              <a:solidFill>
                <a:schemeClr val="accent2"/>
              </a:solidFill>
              <a:ln>
                <a:no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7960-4D22-A327-648C36F4DEBE}"/>
              </c:ext>
            </c:extLst>
          </c:dPt>
          <c:dPt>
            <c:idx val="2"/>
            <c:bubble3D val="0"/>
            <c:spPr>
              <a:solidFill>
                <a:schemeClr val="accent3"/>
              </a:solidFill>
              <a:ln>
                <a:no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7960-4D22-A327-648C36F4DEBE}"/>
              </c:ext>
            </c:extLst>
          </c:dPt>
          <c:dPt>
            <c:idx val="3"/>
            <c:bubble3D val="0"/>
            <c:spPr>
              <a:solidFill>
                <a:schemeClr val="accent4"/>
              </a:solidFill>
              <a:ln>
                <a:no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7-7960-4D22-A327-648C36F4DEBE}"/>
              </c:ext>
            </c:extLst>
          </c:dPt>
          <c:dPt>
            <c:idx val="4"/>
            <c:bubble3D val="0"/>
            <c:spPr>
              <a:solidFill>
                <a:schemeClr val="accent5"/>
              </a:solidFill>
              <a:ln>
                <a:no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9-7960-4D22-A327-648C36F4DEBE}"/>
              </c:ext>
            </c:extLst>
          </c:dPt>
          <c:dPt>
            <c:idx val="5"/>
            <c:bubble3D val="0"/>
            <c:spPr>
              <a:solidFill>
                <a:schemeClr val="accent6"/>
              </a:solidFill>
              <a:ln>
                <a:no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B-7960-4D22-A327-648C36F4DEBE}"/>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 Table '!$C$3:$C$9</c:f>
              <c:strCache>
                <c:ptCount val="6"/>
                <c:pt idx="0">
                  <c:v>Central</c:v>
                </c:pt>
                <c:pt idx="1">
                  <c:v>East</c:v>
                </c:pt>
                <c:pt idx="2">
                  <c:v>Gulf</c:v>
                </c:pt>
                <c:pt idx="3">
                  <c:v>North</c:v>
                </c:pt>
                <c:pt idx="4">
                  <c:v>South</c:v>
                </c:pt>
                <c:pt idx="5">
                  <c:v>West</c:v>
                </c:pt>
              </c:strCache>
            </c:strRef>
          </c:cat>
          <c:val>
            <c:numRef>
              <c:f>'Pivot Table '!$D$3:$D$9</c:f>
              <c:numCache>
                <c:formatCode>\$#,##0.00;\(\$#,##0.00\);\$#,##0.00</c:formatCode>
                <c:ptCount val="6"/>
                <c:pt idx="0">
                  <c:v>203538.20799999996</c:v>
                </c:pt>
                <c:pt idx="1">
                  <c:v>252625.95099999994</c:v>
                </c:pt>
                <c:pt idx="2">
                  <c:v>321433.68850000011</c:v>
                </c:pt>
                <c:pt idx="3">
                  <c:v>216794.17600000004</c:v>
                </c:pt>
                <c:pt idx="4">
                  <c:v>326599.84100000013</c:v>
                </c:pt>
                <c:pt idx="5">
                  <c:v>259912.85000000006</c:v>
                </c:pt>
              </c:numCache>
            </c:numRef>
          </c:val>
          <c:extLst>
            <c:ext xmlns:c16="http://schemas.microsoft.com/office/drawing/2014/chart" uri="{C3380CC4-5D6E-409C-BE32-E72D297353CC}">
              <c16:uniqueId val="{0000000C-7960-4D22-A327-648C36F4DEBE}"/>
            </c:ext>
          </c:extLst>
        </c:ser>
        <c:dLbls>
          <c:showLegendKey val="0"/>
          <c:showVal val="0"/>
          <c:showCatName val="1"/>
          <c:showSerName val="0"/>
          <c:showPercent val="1"/>
          <c:showBubbleSize val="0"/>
          <c:showLeaderLines val="1"/>
        </c:dLbls>
        <c:firstSliceAng val="0"/>
        <c:holeSize val="5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[Mariam_Mostafa_Assignment.xlsx]Pivot Table !PivotTable2</c:name>
    <c:fmtId val="7"/>
  </c:pivotSource>
  <c:chart>
    <c:title>
      <c:tx>
        <c:rich>
          <a:bodyPr rot="0" spcFirstLastPara="1" vertOverflow="ellipsis" vert="horz" wrap="square" anchor="ctr" anchorCtr="1"/>
          <a:lstStyle/>
          <a:p>
            <a:pPr>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baseline="0">
                <a:solidFill>
                  <a:sysClr val="windowText" lastClr="000000">
                    <a:lumMod val="65000"/>
                    <a:lumOff val="35000"/>
                  </a:sysClr>
                </a:solidFill>
                <a:latin typeface="+mn-lt"/>
                <a:ea typeface="+mn-ea"/>
                <a:cs typeface="+mn-cs"/>
              </a:rPr>
              <a:t>Top Sales Person </a:t>
            </a:r>
          </a:p>
        </c:rich>
      </c:tx>
      <c:overlay val="0"/>
      <c:spPr>
        <a:noFill/>
        <a:ln>
          <a:noFill/>
        </a:ln>
        <a:effectLst/>
      </c:spPr>
      <c:txPr>
        <a:bodyPr rot="0" spcFirstLastPara="1" vertOverflow="ellipsis" vert="horz" wrap="square" anchor="ctr" anchorCtr="1"/>
        <a:lstStyle/>
        <a:p>
          <a:pPr>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54113708227416"/>
          <c:y val="0.25616904305880683"/>
          <c:w val="0.72621819910306484"/>
          <c:h val="0.37718699013974605"/>
        </c:manualLayout>
      </c:layout>
      <c:barChart>
        <c:barDir val="col"/>
        <c:grouping val="clustered"/>
        <c:varyColors val="0"/>
        <c:ser>
          <c:idx val="0"/>
          <c:order val="0"/>
          <c:tx>
            <c:strRef>
              <c:f>'Pivot Table '!$H$2</c:f>
              <c:strCache>
                <c:ptCount val="1"/>
                <c:pt idx="0">
                  <c:v>Total</c:v>
                </c:pt>
              </c:strCache>
            </c:strRef>
          </c:tx>
          <c:spPr>
            <a:solidFill>
              <a:schemeClr val="accent1"/>
            </a:solidFill>
            <a:ln>
              <a:noFill/>
            </a:ln>
            <a:effectLst/>
          </c:spPr>
          <c:invertIfNegative val="0"/>
          <c:cat>
            <c:strRef>
              <c:f>'Pivot Table '!$G$3:$G$11</c:f>
              <c:strCache>
                <c:ptCount val="8"/>
                <c:pt idx="0">
                  <c:v>Ahmed Hassan</c:v>
                </c:pt>
                <c:pt idx="1">
                  <c:v>Dina Kamal</c:v>
                </c:pt>
                <c:pt idx="2">
                  <c:v>Khalid Al-Rashid</c:v>
                </c:pt>
                <c:pt idx="3">
                  <c:v>Layla Ahmed</c:v>
                </c:pt>
                <c:pt idx="4">
                  <c:v>Nour Ibrahim</c:v>
                </c:pt>
                <c:pt idx="5">
                  <c:v>Omar Farouk</c:v>
                </c:pt>
                <c:pt idx="6">
                  <c:v>Sara Mohamed</c:v>
                </c:pt>
                <c:pt idx="7">
                  <c:v>Youssef Nabil</c:v>
                </c:pt>
              </c:strCache>
            </c:strRef>
          </c:cat>
          <c:val>
            <c:numRef>
              <c:f>'Pivot Table '!$H$3:$H$11</c:f>
              <c:numCache>
                <c:formatCode>\$#,##0.00;\(\$#,##0.00\);\$#,##0.00</c:formatCode>
                <c:ptCount val="8"/>
                <c:pt idx="0">
                  <c:v>153375.44349999996</c:v>
                </c:pt>
                <c:pt idx="1">
                  <c:v>284542.48800000013</c:v>
                </c:pt>
                <c:pt idx="2">
                  <c:v>237250.96950000004</c:v>
                </c:pt>
                <c:pt idx="3">
                  <c:v>145806.01100000003</c:v>
                </c:pt>
                <c:pt idx="4">
                  <c:v>171524.89600000004</c:v>
                </c:pt>
                <c:pt idx="5">
                  <c:v>170791.11999999991</c:v>
                </c:pt>
                <c:pt idx="6">
                  <c:v>259515.25349999996</c:v>
                </c:pt>
                <c:pt idx="7">
                  <c:v>158098.533</c:v>
                </c:pt>
              </c:numCache>
            </c:numRef>
          </c:val>
          <c:extLst>
            <c:ext xmlns:c16="http://schemas.microsoft.com/office/drawing/2014/chart" uri="{C3380CC4-5D6E-409C-BE32-E72D297353CC}">
              <c16:uniqueId val="{00000000-D117-47C8-8823-695F417198CF}"/>
            </c:ext>
          </c:extLst>
        </c:ser>
        <c:dLbls>
          <c:showLegendKey val="0"/>
          <c:showVal val="0"/>
          <c:showCatName val="0"/>
          <c:showSerName val="0"/>
          <c:showPercent val="0"/>
          <c:showBubbleSize val="0"/>
        </c:dLbls>
        <c:gapWidth val="219"/>
        <c:overlap val="-27"/>
        <c:axId val="1041008040"/>
        <c:axId val="1041005880"/>
      </c:barChart>
      <c:catAx>
        <c:axId val="1041008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41005880"/>
        <c:crosses val="autoZero"/>
        <c:auto val="1"/>
        <c:lblAlgn val="ctr"/>
        <c:lblOffset val="100"/>
        <c:noMultiLvlLbl val="0"/>
      </c:catAx>
      <c:valAx>
        <c:axId val="104100588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41008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[Mariam_Mostafa_Assignment.xlsx]Pivot Table !PivotTable3</c:name>
    <c:fmtId val="7"/>
  </c:pivotSource>
  <c:chart>
    <c:title>
      <c:tx>
        <c:rich>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baseline="0">
                <a:solidFill>
                  <a:sysClr val="windowText" lastClr="000000">
                    <a:lumMod val="65000"/>
                    <a:lumOff val="35000"/>
                  </a:sysClr>
                </a:solidFill>
                <a:latin typeface="+mn-lt"/>
                <a:ea typeface="+mn-ea"/>
                <a:cs typeface="+mn-cs"/>
              </a:rPr>
              <a:t>Orders Status</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'!$K$3:$K$8</c:f>
              <c:strCache>
                <c:ptCount val="5"/>
                <c:pt idx="0">
                  <c:v>Completed</c:v>
                </c:pt>
                <c:pt idx="1">
                  <c:v>Pending</c:v>
                </c:pt>
                <c:pt idx="2">
                  <c:v>Cancelled</c:v>
                </c:pt>
                <c:pt idx="3">
                  <c:v>Refunded</c:v>
                </c:pt>
                <c:pt idx="4">
                  <c:v>In Progress</c:v>
                </c:pt>
              </c:strCache>
            </c:strRef>
          </c:cat>
          <c:val>
            <c:numRef>
              <c:f>'Pivot Table '!$L$3:$L$8</c:f>
              <c:numCache>
                <c:formatCode>\$#,##0.00;\(\$#,##0.00\);\$#,##0.00</c:formatCode>
                <c:ptCount val="5"/>
                <c:pt idx="0">
                  <c:v>1220049.1724999996</c:v>
                </c:pt>
                <c:pt idx="1">
                  <c:v>204928.96950000004</c:v>
                </c:pt>
                <c:pt idx="2">
                  <c:v>95360.284000000029</c:v>
                </c:pt>
                <c:pt idx="3">
                  <c:v>47283.116499999989</c:v>
                </c:pt>
                <c:pt idx="4">
                  <c:v>13283.172000000002</c:v>
                </c:pt>
              </c:numCache>
            </c:numRef>
          </c:val>
          <c:extLst>
            <c:ext xmlns:c16="http://schemas.microsoft.com/office/drawing/2014/chart" uri="{C3380CC4-5D6E-409C-BE32-E72D297353CC}">
              <c16:uniqueId val="{00000000-EBD5-4FFB-98F7-5C9D75742261}"/>
            </c:ext>
          </c:extLst>
        </c:ser>
        <c:dLbls>
          <c:dLblPos val="outEnd"/>
          <c:showLegendKey val="0"/>
          <c:showVal val="1"/>
          <c:showCatName val="0"/>
          <c:showSerName val="0"/>
          <c:showPercent val="0"/>
          <c:showBubbleSize val="0"/>
        </c:dLbls>
        <c:gapWidth val="219"/>
        <c:overlap val="-27"/>
        <c:axId val="1041031800"/>
        <c:axId val="1041036480"/>
      </c:barChart>
      <c:catAx>
        <c:axId val="104103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41036480"/>
        <c:crosses val="autoZero"/>
        <c:auto val="1"/>
        <c:lblAlgn val="ctr"/>
        <c:lblOffset val="100"/>
        <c:noMultiLvlLbl val="0"/>
      </c:catAx>
      <c:valAx>
        <c:axId val="1041036480"/>
        <c:scaling>
          <c:orientation val="minMax"/>
        </c:scaling>
        <c:delete val="1"/>
        <c:axPos val="l"/>
        <c:majorGridlines>
          <c:spPr>
            <a:ln w="9525" cap="flat" cmpd="sng" algn="ctr">
              <a:noFill/>
              <a:round/>
            </a:ln>
            <a:effectLst/>
          </c:spPr>
        </c:majorGridlines>
        <c:numFmt formatCode="\$#,##0.00;\(\$#,##0.00\);\$#,##0.00" sourceLinked="1"/>
        <c:majorTickMark val="none"/>
        <c:minorTickMark val="none"/>
        <c:tickLblPos val="nextTo"/>
        <c:crossAx val="1041031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[Mariam_Mostafa_Assignment.xlsx]Pivot Table !PivotTable5</c:name>
    <c:fmtId val="8"/>
  </c:pivotSource>
  <c:chart>
    <c:title>
      <c:tx>
        <c:rich>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baseline="0">
                <a:solidFill>
                  <a:sysClr val="windowText" lastClr="000000">
                    <a:lumMod val="65000"/>
                    <a:lumOff val="35000"/>
                  </a:sysClr>
                </a:solidFill>
                <a:latin typeface="+mn-lt"/>
                <a:ea typeface="+mn-ea"/>
                <a:cs typeface="+mn-cs"/>
              </a:rPr>
              <a:t>sales per year</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'!$G$16:$G$18</c:f>
              <c:strCache>
                <c:ptCount val="2"/>
                <c:pt idx="0">
                  <c:v>2023</c:v>
                </c:pt>
                <c:pt idx="1">
                  <c:v>2024</c:v>
                </c:pt>
              </c:strCache>
            </c:strRef>
          </c:cat>
          <c:val>
            <c:numRef>
              <c:f>'Pivot Table '!$H$16:$H$18</c:f>
              <c:numCache>
                <c:formatCode>\$#,##0.00;\(\$#,##0.00\);\$#,##0.00</c:formatCode>
                <c:ptCount val="2"/>
                <c:pt idx="0">
                  <c:v>647254.52150000015</c:v>
                </c:pt>
                <c:pt idx="1">
                  <c:v>933650.1929999995</c:v>
                </c:pt>
              </c:numCache>
            </c:numRef>
          </c:val>
          <c:extLst>
            <c:ext xmlns:c16="http://schemas.microsoft.com/office/drawing/2014/chart" uri="{C3380CC4-5D6E-409C-BE32-E72D297353CC}">
              <c16:uniqueId val="{00000000-E98C-4AE1-AB5C-1EB5B96CE317}"/>
            </c:ext>
          </c:extLst>
        </c:ser>
        <c:dLbls>
          <c:dLblPos val="outEnd"/>
          <c:showLegendKey val="0"/>
          <c:showVal val="1"/>
          <c:showCatName val="0"/>
          <c:showSerName val="0"/>
          <c:showPercent val="0"/>
          <c:showBubbleSize val="0"/>
        </c:dLbls>
        <c:gapWidth val="219"/>
        <c:overlap val="-27"/>
        <c:axId val="612835144"/>
        <c:axId val="612836224"/>
      </c:barChart>
      <c:catAx>
        <c:axId val="612835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12836224"/>
        <c:crosses val="autoZero"/>
        <c:auto val="1"/>
        <c:lblAlgn val="ctr"/>
        <c:lblOffset val="100"/>
        <c:noMultiLvlLbl val="0"/>
      </c:catAx>
      <c:valAx>
        <c:axId val="612836224"/>
        <c:scaling>
          <c:orientation val="minMax"/>
        </c:scaling>
        <c:delete val="1"/>
        <c:axPos val="l"/>
        <c:numFmt formatCode="\$#,##0.00;\(\$#,##0.00\);\$#,##0.00" sourceLinked="1"/>
        <c:majorTickMark val="none"/>
        <c:minorTickMark val="none"/>
        <c:tickLblPos val="nextTo"/>
        <c:crossAx val="612835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[Mariam_Mostafa_Assignment.xlsx]Pivot Table !PivotTable4</c:name>
    <c:fmtId val="8"/>
  </c:pivotSource>
  <c:chart>
    <c:title>
      <c:tx>
        <c:rich>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r>
              <a:rPr lang="en-US" sz="1600" b="1" i="0" u="none" strike="noStrike" kern="1200" cap="all" baseline="0">
                <a:solidFill>
                  <a:sysClr val="windowText" lastClr="000000">
                    <a:lumMod val="65000"/>
                    <a:lumOff val="35000"/>
                  </a:sysClr>
                </a:solidFill>
                <a:latin typeface="+mn-lt"/>
                <a:ea typeface="+mn-ea"/>
                <a:cs typeface="+mn-cs"/>
              </a:rPr>
              <a:t>Top 5 products </a:t>
            </a:r>
          </a:p>
        </c:rich>
      </c:tx>
      <c:overlay val="0"/>
      <c:spPr>
        <a:noFill/>
        <a:ln>
          <a:noFill/>
        </a:ln>
        <a:effectLst/>
      </c:spPr>
      <c:txPr>
        <a:bodyPr rot="0" spcFirstLastPara="1" vertOverflow="ellipsis" vert="horz" wrap="square" anchor="ctr" anchorCtr="1"/>
        <a:lstStyle/>
        <a:p>
          <a:pPr algn="ctr" rtl="0">
            <a:defRPr lang="en-US" sz="16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'!$D$15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'!$C$16:$C$21</c:f>
              <c:strCache>
                <c:ptCount val="5"/>
                <c:pt idx="0">
                  <c:v>Conference Table 8-Seat</c:v>
                </c:pt>
                <c:pt idx="1">
                  <c:v>Consulting Day</c:v>
                </c:pt>
                <c:pt idx="2">
                  <c:v>CRM License 1yr</c:v>
                </c:pt>
                <c:pt idx="3">
                  <c:v>Laptop Pro 15"</c:v>
                </c:pt>
                <c:pt idx="4">
                  <c:v>Standing Desk 140cm</c:v>
                </c:pt>
              </c:strCache>
            </c:strRef>
          </c:cat>
          <c:val>
            <c:numRef>
              <c:f>'Pivot Table '!$D$16:$D$21</c:f>
              <c:numCache>
                <c:formatCode>\$#,##0.00;\(\$#,##0.00\);\$#,##0.00</c:formatCode>
                <c:ptCount val="5"/>
                <c:pt idx="0">
                  <c:v>108238.499</c:v>
                </c:pt>
                <c:pt idx="1">
                  <c:v>204996.63649999999</c:v>
                </c:pt>
                <c:pt idx="2">
                  <c:v>96076.409000000029</c:v>
                </c:pt>
                <c:pt idx="3">
                  <c:v>173488.052</c:v>
                </c:pt>
                <c:pt idx="4">
                  <c:v>255305.90849999999</c:v>
                </c:pt>
              </c:numCache>
            </c:numRef>
          </c:val>
          <c:extLst>
            <c:ext xmlns:c16="http://schemas.microsoft.com/office/drawing/2014/chart" uri="{C3380CC4-5D6E-409C-BE32-E72D297353CC}">
              <c16:uniqueId val="{00000000-1EE3-4F3A-8083-128DD312D6CD}"/>
            </c:ext>
          </c:extLst>
        </c:ser>
        <c:dLbls>
          <c:dLblPos val="outEnd"/>
          <c:showLegendKey val="0"/>
          <c:showVal val="1"/>
          <c:showCatName val="0"/>
          <c:showSerName val="0"/>
          <c:showPercent val="0"/>
          <c:showBubbleSize val="0"/>
        </c:dLbls>
        <c:gapWidth val="182"/>
        <c:axId val="546565319"/>
        <c:axId val="546570719"/>
      </c:barChart>
      <c:catAx>
        <c:axId val="546565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70719"/>
        <c:crosses val="autoZero"/>
        <c:auto val="1"/>
        <c:lblAlgn val="ctr"/>
        <c:lblOffset val="100"/>
        <c:noMultiLvlLbl val="0"/>
      </c:catAx>
      <c:valAx>
        <c:axId val="546570719"/>
        <c:scaling>
          <c:orientation val="minMax"/>
        </c:scaling>
        <c:delete val="1"/>
        <c:axPos val="b"/>
        <c:numFmt formatCode="\$#,##0.00;\(\$#,##0.00\);\$#,##0.00" sourceLinked="1"/>
        <c:majorTickMark val="none"/>
        <c:minorTickMark val="none"/>
        <c:tickLblPos val="nextTo"/>
        <c:crossAx val="546565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le '!A1"/><Relationship Id="rId2" Type="http://schemas.openxmlformats.org/officeDocument/2006/relationships/image" Target="../media/image1.png"/><Relationship Id="rId1" Type="http://schemas.openxmlformats.org/officeDocument/2006/relationships/hyperlink" Target="#Sheet2!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Pivot Table '!A1"/><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hyperlink" Target="#Sheet2!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106680</xdr:colOff>
      <xdr:row>6</xdr:row>
      <xdr:rowOff>160701</xdr:rowOff>
    </xdr:from>
    <xdr:to>
      <xdr:col>0</xdr:col>
      <xdr:colOff>929641</xdr:colOff>
      <xdr:row>19</xdr:row>
      <xdr:rowOff>0</xdr:rowOff>
    </xdr:to>
    <xdr:grpSp>
      <xdr:nvGrpSpPr>
        <xdr:cNvPr id="2" name="Group 1">
          <a:extLst>
            <a:ext uri="{FF2B5EF4-FFF2-40B4-BE49-F238E27FC236}">
              <a16:creationId xmlns:a16="http://schemas.microsoft.com/office/drawing/2014/main" id="{4B27D3E1-0D0D-4991-9603-E49BBF536CCF}"/>
            </a:ext>
          </a:extLst>
        </xdr:cNvPr>
        <xdr:cNvGrpSpPr/>
      </xdr:nvGrpSpPr>
      <xdr:grpSpPr>
        <a:xfrm>
          <a:off x="106680" y="1257981"/>
          <a:ext cx="822961" cy="2216739"/>
          <a:chOff x="106680" y="1075101"/>
          <a:chExt cx="822961" cy="2216739"/>
        </a:xfrm>
      </xdr:grpSpPr>
      <xdr:pic>
        <xdr:nvPicPr>
          <xdr:cNvPr id="3" name="Picture 2">
            <a:hlinkClick xmlns:r="http://schemas.openxmlformats.org/officeDocument/2006/relationships" r:id="rId1"/>
            <a:extLst>
              <a:ext uri="{FF2B5EF4-FFF2-40B4-BE49-F238E27FC236}">
                <a16:creationId xmlns:a16="http://schemas.microsoft.com/office/drawing/2014/main" id="{63779F12-09FE-3475-35F8-F12F47A8D565}"/>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106681" y="1075101"/>
            <a:ext cx="822960" cy="822960"/>
          </a:xfrm>
          <a:prstGeom prst="rect">
            <a:avLst/>
          </a:prstGeom>
          <a:ln>
            <a:noFill/>
          </a:ln>
          <a:effectLst>
            <a:outerShdw blurRad="292100" dist="139700" dir="2700000" algn="tl" rotWithShape="0">
              <a:srgbClr val="333333">
                <a:alpha val="65000"/>
              </a:srgbClr>
            </a:outerShdw>
          </a:effectLst>
        </xdr:spPr>
      </xdr:pic>
      <xdr:pic>
        <xdr:nvPicPr>
          <xdr:cNvPr id="4" name="Picture 3">
            <a:hlinkClick xmlns:r="http://schemas.openxmlformats.org/officeDocument/2006/relationships" r:id="rId3"/>
            <a:extLst>
              <a:ext uri="{FF2B5EF4-FFF2-40B4-BE49-F238E27FC236}">
                <a16:creationId xmlns:a16="http://schemas.microsoft.com/office/drawing/2014/main" id="{0E0B9DDC-D684-0158-6AF8-C727594441A2}"/>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06680" y="2468880"/>
            <a:ext cx="822960" cy="822960"/>
          </a:xfrm>
          <a:prstGeom prst="rect">
            <a:avLst/>
          </a:prstGeom>
          <a:ln>
            <a:noFill/>
          </a:ln>
          <a:effectLst>
            <a:outerShdw blurRad="190500" algn="tl" rotWithShape="0">
              <a:srgbClr val="000000">
                <a:alpha val="70000"/>
              </a:srgbClr>
            </a:outerShdw>
          </a:effec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244891</xdr:colOff>
      <xdr:row>2</xdr:row>
      <xdr:rowOff>18286</xdr:rowOff>
    </xdr:from>
    <xdr:to>
      <xdr:col>0</xdr:col>
      <xdr:colOff>1067852</xdr:colOff>
      <xdr:row>14</xdr:row>
      <xdr:rowOff>41516</xdr:rowOff>
    </xdr:to>
    <xdr:grpSp>
      <xdr:nvGrpSpPr>
        <xdr:cNvPr id="10" name="Group 9">
          <a:extLst>
            <a:ext uri="{FF2B5EF4-FFF2-40B4-BE49-F238E27FC236}">
              <a16:creationId xmlns:a16="http://schemas.microsoft.com/office/drawing/2014/main" id="{E3C4CB87-3D2B-F2AB-B30A-FB0383E03507}"/>
            </a:ext>
          </a:extLst>
        </xdr:cNvPr>
        <xdr:cNvGrpSpPr/>
      </xdr:nvGrpSpPr>
      <xdr:grpSpPr>
        <a:xfrm>
          <a:off x="244891" y="609493"/>
          <a:ext cx="822961" cy="2519437"/>
          <a:chOff x="106680" y="1075101"/>
          <a:chExt cx="822961" cy="2216739"/>
        </a:xfrm>
      </xdr:grpSpPr>
      <xdr:pic>
        <xdr:nvPicPr>
          <xdr:cNvPr id="3" name="Picture 2">
            <a:hlinkClick xmlns:r="http://schemas.openxmlformats.org/officeDocument/2006/relationships" r:id="rId1"/>
            <a:extLst>
              <a:ext uri="{FF2B5EF4-FFF2-40B4-BE49-F238E27FC236}">
                <a16:creationId xmlns:a16="http://schemas.microsoft.com/office/drawing/2014/main" id="{A28E8ED7-E275-1F52-E846-D975D4E5298A}"/>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106681" y="1075101"/>
            <a:ext cx="822960" cy="822960"/>
          </a:xfrm>
          <a:prstGeom prst="rect">
            <a:avLst/>
          </a:prstGeom>
          <a:ln>
            <a:noFill/>
          </a:ln>
          <a:effectLst>
            <a:outerShdw blurRad="292100" dist="139700" dir="2700000" algn="tl" rotWithShape="0">
              <a:srgbClr val="333333">
                <a:alpha val="65000"/>
              </a:srgbClr>
            </a:outerShdw>
          </a:effectLst>
        </xdr:spPr>
      </xdr:pic>
      <xdr:pic>
        <xdr:nvPicPr>
          <xdr:cNvPr id="9" name="Picture 8">
            <a:hlinkClick xmlns:r="http://schemas.openxmlformats.org/officeDocument/2006/relationships" r:id="rId3"/>
            <a:extLst>
              <a:ext uri="{FF2B5EF4-FFF2-40B4-BE49-F238E27FC236}">
                <a16:creationId xmlns:a16="http://schemas.microsoft.com/office/drawing/2014/main" id="{60134A7A-32D8-639F-ABD1-F398D16C7136}"/>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06680" y="2468880"/>
            <a:ext cx="822960" cy="822960"/>
          </a:xfrm>
          <a:prstGeom prst="rect">
            <a:avLst/>
          </a:prstGeom>
          <a:ln>
            <a:noFill/>
          </a:ln>
          <a:effectLst>
            <a:outerShdw blurRad="190500" algn="tl" rotWithShape="0">
              <a:srgbClr val="000000">
                <a:alpha val="70000"/>
              </a:srgbClr>
            </a:outerShdw>
          </a:effectLst>
        </xdr:spPr>
      </xdr:pic>
    </xdr:grpSp>
    <xdr:clientData/>
  </xdr:twoCellAnchor>
  <xdr:twoCellAnchor>
    <xdr:from>
      <xdr:col>1</xdr:col>
      <xdr:colOff>114301</xdr:colOff>
      <xdr:row>0</xdr:row>
      <xdr:rowOff>45720</xdr:rowOff>
    </xdr:from>
    <xdr:to>
      <xdr:col>20</xdr:col>
      <xdr:colOff>236484</xdr:colOff>
      <xdr:row>5</xdr:row>
      <xdr:rowOff>22860</xdr:rowOff>
    </xdr:to>
    <xdr:sp macro="" textlink="">
      <xdr:nvSpPr>
        <xdr:cNvPr id="11" name="Rectangle: Rounded Corners 10">
          <a:extLst>
            <a:ext uri="{FF2B5EF4-FFF2-40B4-BE49-F238E27FC236}">
              <a16:creationId xmlns:a16="http://schemas.microsoft.com/office/drawing/2014/main" id="{29C3408C-CE9C-0C69-4266-49879881531F}"/>
            </a:ext>
          </a:extLst>
        </xdr:cNvPr>
        <xdr:cNvSpPr/>
      </xdr:nvSpPr>
      <xdr:spPr>
        <a:xfrm>
          <a:off x="1572611" y="45720"/>
          <a:ext cx="14416252" cy="1120140"/>
        </a:xfrm>
        <a:prstGeom prst="roundRect">
          <a:avLst>
            <a:gd name="adj" fmla="val 641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solidFill>
                <a:schemeClr val="tx1"/>
              </a:solidFill>
              <a:effectLst/>
              <a:latin typeface="+mn-lt"/>
              <a:ea typeface="+mn-ea"/>
              <a:cs typeface="+mn-cs"/>
            </a:rPr>
            <a:t>Sales</a:t>
          </a:r>
          <a:r>
            <a:rPr lang="en-US" sz="2800" baseline="0">
              <a:solidFill>
                <a:schemeClr val="tx1"/>
              </a:solidFill>
              <a:effectLst/>
              <a:latin typeface="+mn-lt"/>
              <a:ea typeface="+mn-ea"/>
              <a:cs typeface="+mn-cs"/>
            </a:rPr>
            <a:t> </a:t>
          </a:r>
          <a:r>
            <a:rPr lang="en-US" sz="3600" baseline="0">
              <a:solidFill>
                <a:schemeClr val="tx1"/>
              </a:solidFill>
              <a:effectLst/>
              <a:latin typeface="+mn-lt"/>
              <a:ea typeface="+mn-ea"/>
              <a:cs typeface="+mn-cs"/>
            </a:rPr>
            <a:t>Performance</a:t>
          </a:r>
          <a:r>
            <a:rPr lang="en-US" sz="2800" baseline="0">
              <a:solidFill>
                <a:schemeClr val="tx1"/>
              </a:solidFill>
              <a:effectLst/>
              <a:latin typeface="+mn-lt"/>
              <a:ea typeface="+mn-ea"/>
              <a:cs typeface="+mn-cs"/>
            </a:rPr>
            <a:t> </a:t>
          </a:r>
          <a:r>
            <a:rPr lang="en-US" sz="3600" baseline="0">
              <a:solidFill>
                <a:schemeClr val="tx1"/>
              </a:solidFill>
              <a:effectLst/>
              <a:latin typeface="+mn-lt"/>
              <a:ea typeface="+mn-ea"/>
              <a:cs typeface="+mn-cs"/>
            </a:rPr>
            <a:t>Dashboard</a:t>
          </a:r>
          <a:r>
            <a:rPr lang="en-US" sz="2800" baseline="0">
              <a:solidFill>
                <a:schemeClr val="tx1"/>
              </a:solidFill>
              <a:effectLst/>
              <a:latin typeface="+mn-lt"/>
              <a:ea typeface="+mn-ea"/>
              <a:cs typeface="+mn-cs"/>
            </a:rPr>
            <a:t> </a:t>
          </a:r>
          <a:endParaRPr lang="en-US" sz="2800">
            <a:solidFill>
              <a:schemeClr val="tx1"/>
            </a:solidFill>
          </a:endParaRPr>
        </a:p>
      </xdr:txBody>
    </xdr:sp>
    <xdr:clientData/>
  </xdr:twoCellAnchor>
  <xdr:twoCellAnchor>
    <xdr:from>
      <xdr:col>1</xdr:col>
      <xdr:colOff>222142</xdr:colOff>
      <xdr:row>5</xdr:row>
      <xdr:rowOff>105104</xdr:rowOff>
    </xdr:from>
    <xdr:to>
      <xdr:col>20</xdr:col>
      <xdr:colOff>223345</xdr:colOff>
      <xdr:row>12</xdr:row>
      <xdr:rowOff>78827</xdr:rowOff>
    </xdr:to>
    <xdr:grpSp>
      <xdr:nvGrpSpPr>
        <xdr:cNvPr id="19" name="Group 18">
          <a:extLst>
            <a:ext uri="{FF2B5EF4-FFF2-40B4-BE49-F238E27FC236}">
              <a16:creationId xmlns:a16="http://schemas.microsoft.com/office/drawing/2014/main" id="{3C1EA770-6443-71A5-CEE9-142153C20641}"/>
            </a:ext>
          </a:extLst>
        </xdr:cNvPr>
        <xdr:cNvGrpSpPr/>
      </xdr:nvGrpSpPr>
      <xdr:grpSpPr>
        <a:xfrm>
          <a:off x="1680452" y="1248104"/>
          <a:ext cx="14295272" cy="1550275"/>
          <a:chOff x="1135205" y="1060303"/>
          <a:chExt cx="8057602" cy="939996"/>
        </a:xfrm>
      </xdr:grpSpPr>
      <xdr:sp macro="" textlink="">
        <xdr:nvSpPr>
          <xdr:cNvPr id="13" name="Rectangle: Rounded Corners 12">
            <a:extLst>
              <a:ext uri="{FF2B5EF4-FFF2-40B4-BE49-F238E27FC236}">
                <a16:creationId xmlns:a16="http://schemas.microsoft.com/office/drawing/2014/main" id="{9819EE39-0D80-0DDC-6340-82BF3F70DC37}"/>
              </a:ext>
            </a:extLst>
          </xdr:cNvPr>
          <xdr:cNvSpPr/>
        </xdr:nvSpPr>
        <xdr:spPr>
          <a:xfrm>
            <a:off x="1135205" y="1060303"/>
            <a:ext cx="2626392" cy="939996"/>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r>
              <a:rPr lang="en-US" sz="2400" baseline="0">
                <a:solidFill>
                  <a:schemeClr val="tx1"/>
                </a:solidFill>
                <a:effectLst/>
                <a:latin typeface="+mn-lt"/>
                <a:ea typeface="+mn-ea"/>
                <a:cs typeface="+mn-cs"/>
              </a:rPr>
              <a:t>Total Sales</a:t>
            </a:r>
          </a:p>
          <a:p>
            <a:pPr algn="l"/>
            <a:r>
              <a:rPr lang="en-US" sz="1800" baseline="0">
                <a:solidFill>
                  <a:schemeClr val="tx1"/>
                </a:solidFill>
                <a:effectLst/>
                <a:latin typeface="+mn-lt"/>
                <a:ea typeface="+mn-ea"/>
                <a:cs typeface="+mn-cs"/>
              </a:rPr>
              <a:t>  </a:t>
            </a:r>
            <a:endParaRPr lang="en-US" sz="1800">
              <a:solidFill>
                <a:schemeClr val="tx1"/>
              </a:solidFill>
            </a:endParaRPr>
          </a:p>
        </xdr:txBody>
      </xdr:sp>
      <xdr:sp macro="" textlink="">
        <xdr:nvSpPr>
          <xdr:cNvPr id="14" name="Rectangle: Rounded Corners 13">
            <a:extLst>
              <a:ext uri="{FF2B5EF4-FFF2-40B4-BE49-F238E27FC236}">
                <a16:creationId xmlns:a16="http://schemas.microsoft.com/office/drawing/2014/main" id="{4BA6DB80-FCF8-4D35-B5CA-A81FCF8C5A2E}"/>
              </a:ext>
            </a:extLst>
          </xdr:cNvPr>
          <xdr:cNvSpPr/>
        </xdr:nvSpPr>
        <xdr:spPr>
          <a:xfrm>
            <a:off x="4014679" y="1101138"/>
            <a:ext cx="2423835" cy="877843"/>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r>
              <a:rPr lang="en-US" sz="2400" baseline="0">
                <a:solidFill>
                  <a:schemeClr val="tx1"/>
                </a:solidFill>
                <a:effectLst/>
                <a:latin typeface="+mn-lt"/>
                <a:ea typeface="+mn-ea"/>
                <a:cs typeface="+mn-cs"/>
              </a:rPr>
              <a:t>Total orders </a:t>
            </a:r>
            <a:endParaRPr lang="en-US" sz="2400">
              <a:solidFill>
                <a:schemeClr val="tx1"/>
              </a:solidFill>
            </a:endParaRPr>
          </a:p>
        </xdr:txBody>
      </xdr:sp>
      <xdr:sp macro="" textlink="">
        <xdr:nvSpPr>
          <xdr:cNvPr id="15" name="Rectangle: Rounded Corners 14">
            <a:extLst>
              <a:ext uri="{FF2B5EF4-FFF2-40B4-BE49-F238E27FC236}">
                <a16:creationId xmlns:a16="http://schemas.microsoft.com/office/drawing/2014/main" id="{E47BFF1C-2787-4E2F-A626-0BB2068DFC94}"/>
              </a:ext>
            </a:extLst>
          </xdr:cNvPr>
          <xdr:cNvSpPr/>
        </xdr:nvSpPr>
        <xdr:spPr>
          <a:xfrm>
            <a:off x="6761255" y="1114835"/>
            <a:ext cx="2431552" cy="877843"/>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r>
              <a:rPr lang="en-US" sz="2400" baseline="0">
                <a:solidFill>
                  <a:schemeClr val="tx1"/>
                </a:solidFill>
                <a:effectLst/>
                <a:latin typeface="+mn-lt"/>
                <a:ea typeface="+mn-ea"/>
                <a:cs typeface="+mn-cs"/>
              </a:rPr>
              <a:t>Average Price</a:t>
            </a:r>
            <a:endParaRPr lang="en-US" sz="2400">
              <a:solidFill>
                <a:schemeClr val="tx1"/>
              </a:solidFill>
            </a:endParaRPr>
          </a:p>
        </xdr:txBody>
      </xdr:sp>
    </xdr:grpSp>
    <xdr:clientData/>
  </xdr:twoCellAnchor>
  <xdr:twoCellAnchor>
    <xdr:from>
      <xdr:col>1</xdr:col>
      <xdr:colOff>118242</xdr:colOff>
      <xdr:row>12</xdr:row>
      <xdr:rowOff>140805</xdr:rowOff>
    </xdr:from>
    <xdr:to>
      <xdr:col>20</xdr:col>
      <xdr:colOff>236483</xdr:colOff>
      <xdr:row>58</xdr:row>
      <xdr:rowOff>52552</xdr:rowOff>
    </xdr:to>
    <xdr:grpSp>
      <xdr:nvGrpSpPr>
        <xdr:cNvPr id="20" name="Group 19">
          <a:extLst>
            <a:ext uri="{FF2B5EF4-FFF2-40B4-BE49-F238E27FC236}">
              <a16:creationId xmlns:a16="http://schemas.microsoft.com/office/drawing/2014/main" id="{6DF56142-89E4-2081-126C-3F698DB22157}"/>
            </a:ext>
          </a:extLst>
        </xdr:cNvPr>
        <xdr:cNvGrpSpPr/>
      </xdr:nvGrpSpPr>
      <xdr:grpSpPr>
        <a:xfrm>
          <a:off x="1576552" y="2860357"/>
          <a:ext cx="14412310" cy="8372574"/>
          <a:chOff x="1721069" y="2777424"/>
          <a:chExt cx="14279967" cy="5762232"/>
        </a:xfrm>
      </xdr:grpSpPr>
      <xdr:sp macro="" textlink="">
        <xdr:nvSpPr>
          <xdr:cNvPr id="18" name="Rectangle: Rounded Corners 17">
            <a:extLst>
              <a:ext uri="{FF2B5EF4-FFF2-40B4-BE49-F238E27FC236}">
                <a16:creationId xmlns:a16="http://schemas.microsoft.com/office/drawing/2014/main" id="{01691F0F-0927-488B-82D1-A20C12BC856E}"/>
              </a:ext>
            </a:extLst>
          </xdr:cNvPr>
          <xdr:cNvSpPr/>
        </xdr:nvSpPr>
        <xdr:spPr>
          <a:xfrm>
            <a:off x="8984716" y="2820772"/>
            <a:ext cx="7016320" cy="2596145"/>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endParaRPr lang="en-US" sz="2800">
              <a:solidFill>
                <a:schemeClr val="tx1"/>
              </a:solidFill>
            </a:endParaRPr>
          </a:p>
        </xdr:txBody>
      </xdr:sp>
      <xdr:sp macro="" textlink="">
        <xdr:nvSpPr>
          <xdr:cNvPr id="16" name="Rectangle: Rounded Corners 15">
            <a:extLst>
              <a:ext uri="{FF2B5EF4-FFF2-40B4-BE49-F238E27FC236}">
                <a16:creationId xmlns:a16="http://schemas.microsoft.com/office/drawing/2014/main" id="{B00D9753-15D5-BEE8-9E29-CF9875AEFC0F}"/>
              </a:ext>
            </a:extLst>
          </xdr:cNvPr>
          <xdr:cNvSpPr/>
        </xdr:nvSpPr>
        <xdr:spPr>
          <a:xfrm>
            <a:off x="1741217" y="2777424"/>
            <a:ext cx="6811576" cy="2674816"/>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endParaRPr lang="en-US" sz="2800">
              <a:solidFill>
                <a:schemeClr val="tx1"/>
              </a:solidFill>
            </a:endParaRPr>
          </a:p>
        </xdr:txBody>
      </xdr:sp>
      <xdr:graphicFrame macro="">
        <xdr:nvGraphicFramePr>
          <xdr:cNvPr id="2050" name="Chart 2049">
            <a:extLst>
              <a:ext uri="{FF2B5EF4-FFF2-40B4-BE49-F238E27FC236}">
                <a16:creationId xmlns:a16="http://schemas.microsoft.com/office/drawing/2014/main" id="{7B24F7D5-122F-4A82-B303-41F7F21B0005}"/>
              </a:ext>
            </a:extLst>
          </xdr:cNvPr>
          <xdr:cNvGraphicFramePr>
            <a:graphicFrameLocks/>
          </xdr:cNvGraphicFramePr>
        </xdr:nvGraphicFramePr>
        <xdr:xfrm>
          <a:off x="1865585" y="2890345"/>
          <a:ext cx="6529553" cy="241709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051" name="Chart 2050">
            <a:extLst>
              <a:ext uri="{FF2B5EF4-FFF2-40B4-BE49-F238E27FC236}">
                <a16:creationId xmlns:a16="http://schemas.microsoft.com/office/drawing/2014/main" id="{E6D6B43E-A70F-4210-B6C9-429F17C686D4}"/>
              </a:ext>
            </a:extLst>
          </xdr:cNvPr>
          <xdr:cNvGraphicFramePr>
            <a:graphicFrameLocks/>
          </xdr:cNvGraphicFramePr>
        </xdr:nvGraphicFramePr>
        <xdr:xfrm>
          <a:off x="9183415" y="2811517"/>
          <a:ext cx="6437586" cy="246993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0" name="Rectangle: Rounded Corners 29">
            <a:extLst>
              <a:ext uri="{FF2B5EF4-FFF2-40B4-BE49-F238E27FC236}">
                <a16:creationId xmlns:a16="http://schemas.microsoft.com/office/drawing/2014/main" id="{43D563CE-7E44-83F8-88D8-8D0C34ADC865}"/>
              </a:ext>
            </a:extLst>
          </xdr:cNvPr>
          <xdr:cNvSpPr/>
        </xdr:nvSpPr>
        <xdr:spPr>
          <a:xfrm>
            <a:off x="1721069" y="5623033"/>
            <a:ext cx="6762001" cy="2916623"/>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endParaRPr lang="en-US" sz="2800">
              <a:solidFill>
                <a:schemeClr val="tx1"/>
              </a:solidFill>
            </a:endParaRPr>
          </a:p>
        </xdr:txBody>
      </xdr:sp>
      <xdr:sp macro="" textlink="">
        <xdr:nvSpPr>
          <xdr:cNvPr id="31" name="Rectangle: Rounded Corners 30">
            <a:extLst>
              <a:ext uri="{FF2B5EF4-FFF2-40B4-BE49-F238E27FC236}">
                <a16:creationId xmlns:a16="http://schemas.microsoft.com/office/drawing/2014/main" id="{2DB02BB8-09CC-A711-F5D4-ADDCD2A2960E}"/>
              </a:ext>
            </a:extLst>
          </xdr:cNvPr>
          <xdr:cNvSpPr/>
        </xdr:nvSpPr>
        <xdr:spPr>
          <a:xfrm>
            <a:off x="8946932" y="5583620"/>
            <a:ext cx="6897414" cy="2939561"/>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endParaRPr lang="en-US" sz="2800">
              <a:solidFill>
                <a:schemeClr val="tx1"/>
              </a:solidFill>
            </a:endParaRPr>
          </a:p>
        </xdr:txBody>
      </xdr:sp>
      <xdr:graphicFrame macro="">
        <xdr:nvGraphicFramePr>
          <xdr:cNvPr id="2052" name="Chart 2051">
            <a:extLst>
              <a:ext uri="{FF2B5EF4-FFF2-40B4-BE49-F238E27FC236}">
                <a16:creationId xmlns:a16="http://schemas.microsoft.com/office/drawing/2014/main" id="{C752B271-B1B2-4931-920F-C7A4B9217C02}"/>
              </a:ext>
            </a:extLst>
          </xdr:cNvPr>
          <xdr:cNvGraphicFramePr>
            <a:graphicFrameLocks/>
          </xdr:cNvGraphicFramePr>
        </xdr:nvGraphicFramePr>
        <xdr:xfrm>
          <a:off x="1865586" y="5767552"/>
          <a:ext cx="6463861" cy="263573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54" name="Chart 2053">
            <a:extLst>
              <a:ext uri="{FF2B5EF4-FFF2-40B4-BE49-F238E27FC236}">
                <a16:creationId xmlns:a16="http://schemas.microsoft.com/office/drawing/2014/main" id="{8D093C39-C3FC-431E-AE34-9FD34005F383}"/>
              </a:ext>
            </a:extLst>
          </xdr:cNvPr>
          <xdr:cNvGraphicFramePr>
            <a:graphicFrameLocks/>
          </xdr:cNvGraphicFramePr>
        </xdr:nvGraphicFramePr>
        <xdr:xfrm>
          <a:off x="9038896" y="5728138"/>
          <a:ext cx="6700345" cy="267747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20</xdr:col>
      <xdr:colOff>420416</xdr:colOff>
      <xdr:row>0</xdr:row>
      <xdr:rowOff>13139</xdr:rowOff>
    </xdr:from>
    <xdr:to>
      <xdr:col>31</xdr:col>
      <xdr:colOff>197070</xdr:colOff>
      <xdr:row>58</xdr:row>
      <xdr:rowOff>26276</xdr:rowOff>
    </xdr:to>
    <xdr:grpSp>
      <xdr:nvGrpSpPr>
        <xdr:cNvPr id="4" name="Group 3">
          <a:extLst>
            <a:ext uri="{FF2B5EF4-FFF2-40B4-BE49-F238E27FC236}">
              <a16:creationId xmlns:a16="http://schemas.microsoft.com/office/drawing/2014/main" id="{FF5D33E9-F612-7229-E460-25A66557AB45}"/>
            </a:ext>
          </a:extLst>
        </xdr:cNvPr>
        <xdr:cNvGrpSpPr/>
      </xdr:nvGrpSpPr>
      <xdr:grpSpPr>
        <a:xfrm>
          <a:off x="16172795" y="13139"/>
          <a:ext cx="6424447" cy="11193516"/>
          <a:chOff x="11430002" y="65694"/>
          <a:chExt cx="4808481" cy="7994948"/>
        </a:xfrm>
      </xdr:grpSpPr>
      <xdr:sp macro="" textlink="">
        <xdr:nvSpPr>
          <xdr:cNvPr id="2048" name="Rectangle: Rounded Corners 2047">
            <a:extLst>
              <a:ext uri="{FF2B5EF4-FFF2-40B4-BE49-F238E27FC236}">
                <a16:creationId xmlns:a16="http://schemas.microsoft.com/office/drawing/2014/main" id="{090C7BAC-5D53-94EA-10DD-89057BCFB2C7}"/>
              </a:ext>
            </a:extLst>
          </xdr:cNvPr>
          <xdr:cNvSpPr/>
        </xdr:nvSpPr>
        <xdr:spPr>
          <a:xfrm>
            <a:off x="11444967" y="65694"/>
            <a:ext cx="4793516" cy="7994948"/>
          </a:xfrm>
          <a:prstGeom prst="roundRect">
            <a:avLst>
              <a:gd name="adj" fmla="val 1068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aseline="0">
                <a:solidFill>
                  <a:schemeClr val="tx1"/>
                </a:solidFill>
                <a:effectLst/>
                <a:latin typeface="+mn-lt"/>
                <a:ea typeface="+mn-ea"/>
                <a:cs typeface="+mn-cs"/>
              </a:rPr>
              <a:t> </a:t>
            </a:r>
            <a:endParaRPr lang="en-US" sz="2800">
              <a:solidFill>
                <a:schemeClr val="tx1"/>
              </a:solidFill>
            </a:endParaRPr>
          </a:p>
        </xdr:txBody>
      </xdr:sp>
      <xdr:grpSp>
        <xdr:nvGrpSpPr>
          <xdr:cNvPr id="2" name="Group 1">
            <a:extLst>
              <a:ext uri="{FF2B5EF4-FFF2-40B4-BE49-F238E27FC236}">
                <a16:creationId xmlns:a16="http://schemas.microsoft.com/office/drawing/2014/main" id="{5D9F55C3-D6A1-BFED-4FBC-A5807F2D03D2}"/>
              </a:ext>
            </a:extLst>
          </xdr:cNvPr>
          <xdr:cNvGrpSpPr/>
        </xdr:nvGrpSpPr>
        <xdr:grpSpPr>
          <a:xfrm>
            <a:off x="11430002" y="472969"/>
            <a:ext cx="4601983" cy="7446917"/>
            <a:chOff x="11430002" y="472969"/>
            <a:chExt cx="4601983" cy="7446917"/>
          </a:xfrm>
        </xdr:grpSpPr>
        <xdr:grpSp>
          <xdr:nvGrpSpPr>
            <xdr:cNvPr id="2056" name="Group 2055">
              <a:extLst>
                <a:ext uri="{FF2B5EF4-FFF2-40B4-BE49-F238E27FC236}">
                  <a16:creationId xmlns:a16="http://schemas.microsoft.com/office/drawing/2014/main" id="{708160C1-DA86-F9AA-4043-9105B62F76D9}"/>
                </a:ext>
              </a:extLst>
            </xdr:cNvPr>
            <xdr:cNvGrpSpPr/>
          </xdr:nvGrpSpPr>
          <xdr:grpSpPr>
            <a:xfrm>
              <a:off x="11901099" y="472969"/>
              <a:ext cx="3496555" cy="3941376"/>
              <a:chOff x="11874823" y="446693"/>
              <a:chExt cx="3496555" cy="3941376"/>
            </a:xfrm>
          </xdr:grpSpPr>
          <mc:AlternateContent xmlns:mc="http://schemas.openxmlformats.org/markup-compatibility/2006" xmlns:a14="http://schemas.microsoft.com/office/drawing/2010/main">
            <mc:Choice Requires="a14">
              <xdr:graphicFrame macro="">
                <xdr:nvGraphicFramePr>
                  <xdr:cNvPr id="24" name="Status">
                    <a:extLst>
                      <a:ext uri="{FF2B5EF4-FFF2-40B4-BE49-F238E27FC236}">
                        <a16:creationId xmlns:a16="http://schemas.microsoft.com/office/drawing/2014/main" id="{FBCDA41B-220E-6373-528D-17A44FAF2E18}"/>
                      </a:ext>
                    </a:extLst>
                  </xdr:cNvPr>
                  <xdr:cNvGraphicFramePr/>
                </xdr:nvGraphicFramePr>
                <xdr:xfrm>
                  <a:off x="11901375" y="3139164"/>
                  <a:ext cx="3470003" cy="1248905"/>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837687" y="4353012"/>
                    <a:ext cx="4636152" cy="1748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OrderDate (Year)">
                    <a:extLst>
                      <a:ext uri="{FF2B5EF4-FFF2-40B4-BE49-F238E27FC236}">
                        <a16:creationId xmlns:a16="http://schemas.microsoft.com/office/drawing/2014/main" id="{12B52FB3-0FBA-B4BC-EB7D-CA5509FDB757}"/>
                      </a:ext>
                    </a:extLst>
                  </xdr:cNvPr>
                  <xdr:cNvGraphicFramePr/>
                </xdr:nvGraphicFramePr>
                <xdr:xfrm>
                  <a:off x="11929242" y="446693"/>
                  <a:ext cx="3363310" cy="1064169"/>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16874919" y="583354"/>
                    <a:ext cx="4493603" cy="1489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3894F50D-9C1F-1125-2F0F-875784938B08}"/>
                      </a:ext>
                    </a:extLst>
                  </xdr:cNvPr>
                  <xdr:cNvGraphicFramePr/>
                </xdr:nvGraphicFramePr>
                <xdr:xfrm>
                  <a:off x="11874823" y="1648819"/>
                  <a:ext cx="3404590" cy="138604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802212" y="2266419"/>
                    <a:ext cx="4548756" cy="1940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2055" name="Chart 2054">
              <a:extLst>
                <a:ext uri="{FF2B5EF4-FFF2-40B4-BE49-F238E27FC236}">
                  <a16:creationId xmlns:a16="http://schemas.microsoft.com/office/drawing/2014/main" id="{665DE9CE-F4AA-45C0-96F6-79E6CA606516}"/>
                </a:ext>
              </a:extLst>
            </xdr:cNvPr>
            <xdr:cNvGraphicFramePr>
              <a:graphicFrameLocks/>
            </xdr:cNvGraphicFramePr>
          </xdr:nvGraphicFramePr>
          <xdr:xfrm>
            <a:off x="11430002" y="4663966"/>
            <a:ext cx="4601983" cy="3255920"/>
          </xdr:xfrm>
          <a:graphic>
            <a:graphicData uri="http://schemas.openxmlformats.org/drawingml/2006/chart">
              <c:chart xmlns:c="http://schemas.openxmlformats.org/drawingml/2006/chart" xmlns:r="http://schemas.openxmlformats.org/officeDocument/2006/relationships" r:id="rId9"/>
            </a:graphicData>
          </a:graphic>
        </xdr:graphicFrame>
      </xdr:grpSp>
    </xdr:grpSp>
    <xdr:clientData/>
  </xdr:twoCellAnchor>
  <xdr:twoCellAnchor>
    <xdr:from>
      <xdr:col>1</xdr:col>
      <xdr:colOff>341587</xdr:colOff>
      <xdr:row>7</xdr:row>
      <xdr:rowOff>223344</xdr:rowOff>
    </xdr:from>
    <xdr:to>
      <xdr:col>4</xdr:col>
      <xdr:colOff>200206</xdr:colOff>
      <xdr:row>10</xdr:row>
      <xdr:rowOff>-1</xdr:rowOff>
    </xdr:to>
    <xdr:sp macro="" textlink="'Pivot Table '!K25">
      <xdr:nvSpPr>
        <xdr:cNvPr id="2060" name="TextBox 2059">
          <a:extLst>
            <a:ext uri="{FF2B5EF4-FFF2-40B4-BE49-F238E27FC236}">
              <a16:creationId xmlns:a16="http://schemas.microsoft.com/office/drawing/2014/main" id="{70517555-A6B9-4EC6-8D45-A85C1D4E736E}"/>
            </a:ext>
          </a:extLst>
        </xdr:cNvPr>
        <xdr:cNvSpPr txBox="1"/>
      </xdr:nvSpPr>
      <xdr:spPr>
        <a:xfrm>
          <a:off x="1392621" y="1799896"/>
          <a:ext cx="2683275" cy="551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fld id="{C38F4783-926C-4E7C-99EF-D87464D44429}" type="TxLink">
            <a:rPr lang="en-US" sz="2000" b="0" i="0" u="none" strike="noStrike">
              <a:solidFill>
                <a:srgbClr val="000000"/>
              </a:solidFill>
              <a:latin typeface="Calibri"/>
              <a:ea typeface="Calibri"/>
              <a:cs typeface="Calibri"/>
            </a:rPr>
            <a:pPr marL="0" indent="0"/>
            <a:t>$1,580,904.71</a:t>
          </a:fld>
          <a:endParaRPr lang="en-US" sz="2000" b="0" i="0" u="none" strike="noStrike">
            <a:solidFill>
              <a:schemeClr val="tx1"/>
            </a:solidFill>
            <a:latin typeface="Calibri"/>
            <a:ea typeface="Calibri"/>
            <a:cs typeface="Calibri"/>
          </a:endParaRPr>
        </a:p>
      </xdr:txBody>
    </xdr:sp>
    <xdr:clientData/>
  </xdr:twoCellAnchor>
  <xdr:twoCellAnchor>
    <xdr:from>
      <xdr:col>7</xdr:col>
      <xdr:colOff>182728</xdr:colOff>
      <xdr:row>8</xdr:row>
      <xdr:rowOff>65690</xdr:rowOff>
    </xdr:from>
    <xdr:to>
      <xdr:col>9</xdr:col>
      <xdr:colOff>433551</xdr:colOff>
      <xdr:row>10</xdr:row>
      <xdr:rowOff>46681</xdr:rowOff>
    </xdr:to>
    <xdr:sp macro="" textlink="'Pivot Table '!K19">
      <xdr:nvSpPr>
        <xdr:cNvPr id="2061" name="TextBox 2060">
          <a:extLst>
            <a:ext uri="{FF2B5EF4-FFF2-40B4-BE49-F238E27FC236}">
              <a16:creationId xmlns:a16="http://schemas.microsoft.com/office/drawing/2014/main" id="{D258326E-8DAE-4575-B919-D516674A5D7F}"/>
            </a:ext>
          </a:extLst>
        </xdr:cNvPr>
        <xdr:cNvSpPr txBox="1"/>
      </xdr:nvSpPr>
      <xdr:spPr>
        <a:xfrm>
          <a:off x="7001314" y="1944414"/>
          <a:ext cx="1735409" cy="453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fld id="{30F267CD-E581-45D5-B791-C129DD03FE6A}" type="TxLink">
            <a:rPr lang="en-US" sz="2000" b="0" i="0" u="none" strike="noStrike">
              <a:solidFill>
                <a:srgbClr val="000000"/>
              </a:solidFill>
              <a:latin typeface="Calibri"/>
              <a:ea typeface="Calibri"/>
              <a:cs typeface="Calibri"/>
            </a:rPr>
            <a:pPr marL="0" indent="0"/>
            <a:t>450</a:t>
          </a:fld>
          <a:endParaRPr lang="en-US" sz="2000" b="0" i="0" u="none" strike="noStrike">
            <a:solidFill>
              <a:schemeClr val="tx1"/>
            </a:solidFill>
            <a:latin typeface="Calibri"/>
            <a:ea typeface="Calibri"/>
            <a:cs typeface="Calibri"/>
          </a:endParaRPr>
        </a:p>
      </xdr:txBody>
    </xdr:sp>
    <xdr:clientData/>
  </xdr:twoCellAnchor>
  <xdr:twoCellAnchor>
    <xdr:from>
      <xdr:col>1</xdr:col>
      <xdr:colOff>445486</xdr:colOff>
      <xdr:row>8</xdr:row>
      <xdr:rowOff>39414</xdr:rowOff>
    </xdr:from>
    <xdr:to>
      <xdr:col>4</xdr:col>
      <xdr:colOff>239360</xdr:colOff>
      <xdr:row>11</xdr:row>
      <xdr:rowOff>22580</xdr:rowOff>
    </xdr:to>
    <xdr:sp macro="" textlink="'Pivot Table '!DD153">
      <xdr:nvSpPr>
        <xdr:cNvPr id="2062" name="TextBox 2061">
          <a:extLst>
            <a:ext uri="{FF2B5EF4-FFF2-40B4-BE49-F238E27FC236}">
              <a16:creationId xmlns:a16="http://schemas.microsoft.com/office/drawing/2014/main" id="{D7063F71-37CE-459A-89D7-D9B9EF78784A}"/>
            </a:ext>
          </a:extLst>
        </xdr:cNvPr>
        <xdr:cNvSpPr txBox="1"/>
      </xdr:nvSpPr>
      <xdr:spPr>
        <a:xfrm>
          <a:off x="1903796" y="1918138"/>
          <a:ext cx="2618530" cy="640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fld id="{02B384A1-2B68-4B1B-A3A6-07AA5923BB47}" type="TxLink">
            <a:rPr lang="en-US" sz="1600" b="0" i="0" u="none" strike="noStrike">
              <a:solidFill>
                <a:schemeClr val="tx1"/>
              </a:solidFill>
              <a:latin typeface="Calibri"/>
              <a:ea typeface="Calibri"/>
              <a:cs typeface="Calibri"/>
            </a:rPr>
            <a:pPr marL="0" indent="0"/>
            <a:t> </a:t>
          </a:fld>
          <a:endParaRPr lang="en-US" sz="1600" b="0" i="0" u="none" strike="noStrike">
            <a:solidFill>
              <a:schemeClr val="tx1"/>
            </a:solidFill>
            <a:latin typeface="Calibri"/>
            <a:ea typeface="Calibri"/>
            <a:cs typeface="Calibri"/>
          </a:endParaRPr>
        </a:p>
      </xdr:txBody>
    </xdr:sp>
    <xdr:clientData/>
  </xdr:twoCellAnchor>
  <xdr:twoCellAnchor>
    <xdr:from>
      <xdr:col>22</xdr:col>
      <xdr:colOff>591208</xdr:colOff>
      <xdr:row>14</xdr:row>
      <xdr:rowOff>13138</xdr:rowOff>
    </xdr:from>
    <xdr:to>
      <xdr:col>27</xdr:col>
      <xdr:colOff>188014</xdr:colOff>
      <xdr:row>20</xdr:row>
      <xdr:rowOff>140821</xdr:rowOff>
    </xdr:to>
    <xdr:sp macro="" textlink="'Pivot Table '!DD153">
      <xdr:nvSpPr>
        <xdr:cNvPr id="2063" name="TextBox 2062">
          <a:extLst>
            <a:ext uri="{FF2B5EF4-FFF2-40B4-BE49-F238E27FC236}">
              <a16:creationId xmlns:a16="http://schemas.microsoft.com/office/drawing/2014/main" id="{B6E798BF-ABCB-415E-8F19-8C3D6711F280}"/>
            </a:ext>
          </a:extLst>
        </xdr:cNvPr>
        <xdr:cNvSpPr txBox="1"/>
      </xdr:nvSpPr>
      <xdr:spPr>
        <a:xfrm>
          <a:off x="17145001" y="3100552"/>
          <a:ext cx="2618530" cy="12312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fld id="{02B384A1-2B68-4B1B-A3A6-07AA5923BB47}" type="TxLink">
            <a:rPr lang="en-US" sz="1600" b="0" i="0" u="none" strike="noStrike">
              <a:solidFill>
                <a:schemeClr val="tx1"/>
              </a:solidFill>
              <a:latin typeface="Calibri"/>
              <a:ea typeface="Calibri"/>
              <a:cs typeface="Calibri"/>
            </a:rPr>
            <a:pPr marL="0" indent="0"/>
            <a:t> </a:t>
          </a:fld>
          <a:endParaRPr lang="en-US" sz="1600" b="0" i="0" u="none" strike="noStrike">
            <a:solidFill>
              <a:schemeClr val="tx1"/>
            </a:solidFill>
            <a:latin typeface="Calibri"/>
            <a:ea typeface="Calibri"/>
            <a:cs typeface="Calibri"/>
          </a:endParaRPr>
        </a:p>
      </xdr:txBody>
    </xdr:sp>
    <xdr:clientData/>
  </xdr:twoCellAnchor>
  <xdr:twoCellAnchor>
    <xdr:from>
      <xdr:col>13</xdr:col>
      <xdr:colOff>231227</xdr:colOff>
      <xdr:row>8</xdr:row>
      <xdr:rowOff>39413</xdr:rowOff>
    </xdr:from>
    <xdr:to>
      <xdr:col>16</xdr:col>
      <xdr:colOff>52552</xdr:colOff>
      <xdr:row>10</xdr:row>
      <xdr:rowOff>83013</xdr:rowOff>
    </xdr:to>
    <xdr:sp macro="" textlink="'Pivot Table '!K16">
      <xdr:nvSpPr>
        <xdr:cNvPr id="2064" name="TextBox 2063">
          <a:extLst>
            <a:ext uri="{FF2B5EF4-FFF2-40B4-BE49-F238E27FC236}">
              <a16:creationId xmlns:a16="http://schemas.microsoft.com/office/drawing/2014/main" id="{87B70C21-13B7-45D8-9F6B-9DA3DA2AB854}"/>
            </a:ext>
          </a:extLst>
        </xdr:cNvPr>
        <xdr:cNvSpPr txBox="1"/>
      </xdr:nvSpPr>
      <xdr:spPr>
        <a:xfrm>
          <a:off x="11753193" y="1918137"/>
          <a:ext cx="1634359" cy="5165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fld id="{336A2314-7080-4C09-A766-422FECB98A67}" type="TxLink">
            <a:rPr lang="en-US" sz="2000" b="0" i="0" u="none" strike="noStrike">
              <a:solidFill>
                <a:srgbClr val="000000"/>
              </a:solidFill>
              <a:latin typeface="Calibri"/>
              <a:ea typeface="Calibri"/>
              <a:cs typeface="Calibri"/>
            </a:rPr>
            <a:pPr marL="0" indent="0"/>
            <a:t>$287.96</a:t>
          </a:fld>
          <a:endParaRPr lang="en-US" sz="2000" b="0" i="0" u="none" strike="noStrike">
            <a:solidFill>
              <a:schemeClr val="tx1"/>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4629627" backgroundQuery="1" createdVersion="8" refreshedVersion="8" minRefreshableVersion="3" recordCount="0" supportSubquery="1" supportAdvancedDrill="1" xr:uid="{2633CA8F-4195-441C-8F0A-2615A2EE17CE}">
  <cacheSource type="external" connectionId="4"/>
  <cacheFields count="2">
    <cacheField name="[Measures].[Total Sales]" caption="Total Sales" numFmtId="0" hierarchy="33" level="32767"/>
    <cacheField name="[Sales_Transactions].[Status].[Status]" caption="Status" numFmtId="0" hierarchy="26" level="1">
      <sharedItems count="5">
        <s v="Cancelled"/>
        <s v="Completed"/>
        <s v="In Progress"/>
        <s v="Pending"/>
        <s v="Refunded"/>
      </sharedItems>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1"/>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oneField="1">
      <fieldsUsage count="1">
        <fieldUsage x="0"/>
      </fieldsUsage>
    </cacheHierarchy>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5092596" backgroundQuery="1" createdVersion="8" refreshedVersion="8" minRefreshableVersion="3" recordCount="0" supportSubquery="1" supportAdvancedDrill="1" xr:uid="{3CDAEF00-CDC3-42A0-B3C2-888C7C96E7E0}">
  <cacheSource type="external" connectionId="4"/>
  <cacheFields count="3">
    <cacheField name="[Sales_Transactions].[Region].[Region]" caption="Region" numFmtId="0" hierarchy="24" level="1">
      <sharedItems count="6">
        <s v="Central"/>
        <s v="East"/>
        <s v="Gulf"/>
        <s v="North"/>
        <s v="South"/>
        <s v="West"/>
      </sharedItems>
    </cacheField>
    <cacheField name="[Measures].[Total Sales]" caption="Total Sales" numFmtId="0" hierarchy="33" level="32767"/>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fieldsUsage count="2">
        <fieldUsage x="-1"/>
        <fieldUsage x="0"/>
      </fieldsUsage>
    </cacheHierarchy>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2"/>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oneField="1">
      <fieldsUsage count="1">
        <fieldUsage x="1"/>
      </fieldsUsage>
    </cacheHierarchy>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5439812" backgroundQuery="1" createdVersion="8" refreshedVersion="8" minRefreshableVersion="3" recordCount="0" supportSubquery="1" supportAdvancedDrill="1" xr:uid="{D744661F-9F81-4CE3-998A-2E925BA59753}">
  <cacheSource type="external" connectionId="4"/>
  <cacheFields count="3">
    <cacheField name="[Measures].[Total Sales]" caption="Total Sales" numFmtId="0" hierarchy="33" level="32767"/>
    <cacheField name="[Sales_Transactions].[SalesPerson].[SalesPerson]" caption="SalesPerson" numFmtId="0" hierarchy="25" level="1">
      <sharedItems count="8">
        <s v="Ahmed Hassan"/>
        <s v="Dina Kamal"/>
        <s v="Khalid Al-Rashid"/>
        <s v="Layla Ahmed"/>
        <s v="Nour Ibrahim"/>
        <s v="Omar Farouk"/>
        <s v="Sara Mohamed"/>
        <s v="Youssef Nabil"/>
      </sharedItems>
    </cacheField>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2" memberValueDatatype="130" unbalanced="0">
      <fieldsUsage count="2">
        <fieldUsage x="-1"/>
        <fieldUsage x="1"/>
      </fieldsUsage>
    </cacheHierarchy>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2"/>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oneField="1">
      <fieldsUsage count="1">
        <fieldUsage x="0"/>
      </fieldsUsage>
    </cacheHierarchy>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5902781" backgroundQuery="1" createdVersion="8" refreshedVersion="8" minRefreshableVersion="3" recordCount="0" supportSubquery="1" supportAdvancedDrill="1" xr:uid="{457CB900-F568-4368-A4C8-64FA2E468E7B}">
  <cacheSource type="external" connectionId="4"/>
  <cacheFields count="3">
    <cacheField name="[Measures].[Total Sales]" caption="Total Sales" numFmtId="0" hierarchy="33" level="32767"/>
    <cacheField name="[Products].[Product Name].[Product Name]" caption="Product Name" numFmtId="0" hierarchy="9" level="1">
      <sharedItems count="5">
        <s v="Conference Table 8-Seat"/>
        <s v="Consulting Day"/>
        <s v="CRM License 1yr"/>
        <s v="Laptop Pro 15&quot;"/>
        <s v="Standing Desk 140cm"/>
      </sharedItems>
    </cacheField>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2"/>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oneField="1">
      <fieldsUsage count="1">
        <fieldUsage x="0"/>
      </fieldsUsage>
    </cacheHierarchy>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6249997" backgroundQuery="1" createdVersion="8" refreshedVersion="8" minRefreshableVersion="3" recordCount="0" supportSubquery="1" supportAdvancedDrill="1" xr:uid="{FDB6E6A3-A3A7-45BB-A9CB-48D901DB4D5B}">
  <cacheSource type="external" connectionId="4"/>
  <cacheFields count="3">
    <cacheField name="[Sales_Transactions].[OrderDate (Year)].[OrderDate (Year)]" caption="OrderDate (Year)" numFmtId="0" hierarchy="29" level="1">
      <sharedItems count="2">
        <s v="2023"/>
        <s v="2024"/>
      </sharedItems>
    </cacheField>
    <cacheField name="[Measures].[Total Sales]" caption="Total Sales" numFmtId="0" hierarchy="33" level="32767"/>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2"/>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fieldsUsage count="2">
        <fieldUsage x="-1"/>
        <fieldUsage x="0"/>
      </fieldsUsage>
    </cacheHierarchy>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oneField="1">
      <fieldsUsage count="1">
        <fieldUsage x="1"/>
      </fieldsUsage>
    </cacheHierarchy>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6365743" backgroundQuery="1" createdVersion="8" refreshedVersion="8" minRefreshableVersion="3" recordCount="0" supportSubquery="1" supportAdvancedDrill="1" xr:uid="{4E59C214-BA89-4D50-9465-64C7D10B69B7}">
  <cacheSource type="external" connectionId="4"/>
  <cacheFields count="2">
    <cacheField name="[Measures].[Average Sales Price]" caption="Average Sales Price" numFmtId="0" hierarchy="35" level="32767"/>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1"/>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cacheHierarchy uniqueName="[Measures].[Total Orders]" caption="Total Orders" measure="1" displayFolder="" measureGroup="Sales_Transactions" count="0"/>
    <cacheHierarchy uniqueName="[Measures].[Average Sales Price]" caption="Average Sales Price" measure="1" displayFolder="" measureGroup="Sales_Transactions" count="0" oneField="1">
      <fieldsUsage count="1">
        <fieldUsage x="0"/>
      </fieldsUsage>
    </cacheHierarchy>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659722" backgroundQuery="1" createdVersion="8" refreshedVersion="8" minRefreshableVersion="3" recordCount="0" supportSubquery="1" supportAdvancedDrill="1" xr:uid="{A2F6CC25-451C-4CD7-B821-84EEBBB191F3}">
  <cacheSource type="external" connectionId="4"/>
  <cacheFields count="2">
    <cacheField name="[Measures].[Total Orders]" caption="Total Orders" numFmtId="0" hierarchy="34" level="32767"/>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1"/>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cacheHierarchy uniqueName="[Measures].[Total Orders]" caption="Total Orders" measure="1" displayFolder="" measureGroup="Sales_Transactions" count="0" oneField="1">
      <fieldsUsage count="1">
        <fieldUsage x="0"/>
      </fieldsUsage>
    </cacheHierarchy>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6712966" backgroundQuery="1" createdVersion="8" refreshedVersion="8" minRefreshableVersion="3" recordCount="0" supportSubquery="1" supportAdvancedDrill="1" xr:uid="{870DE6BD-6DFB-4B16-A2DF-710464B4266B}">
  <cacheSource type="external" connectionId="4"/>
  <cacheFields count="2">
    <cacheField name="[Measures].[Top Sales]" caption="Top Sales" numFmtId="0" hierarchy="36" level="32767"/>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1"/>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oneField="1">
      <fieldsUsage count="1">
        <fieldUsage x="0"/>
      </fieldsUsage>
    </cacheHierarchy>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50.115207060182" backgroundQuery="1" createdVersion="8" refreshedVersion="8" minRefreshableVersion="3" recordCount="0" supportSubquery="1" supportAdvancedDrill="1" xr:uid="{CDC94286-6E39-47D4-8DAE-DE85922957FC}">
  <cacheSource type="external" connectionId="4"/>
  <cacheFields count="2">
    <cacheField name="[Measures].[Total Sales]" caption="Total Sales" numFmtId="0" hierarchy="33" level="32767"/>
    <cacheField name="[Sales_Transactions].[Status].[Status]" caption="Status" numFmtId="0" hierarchy="26" level="1">
      <sharedItems containsSemiMixedTypes="0" containsNonDate="0" containsString="0"/>
    </cacheField>
  </cacheFields>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fieldsUsage count="2">
        <fieldUsage x="-1"/>
        <fieldUsage x="1"/>
      </fieldsUsage>
    </cacheHierarchy>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oneField="1">
      <fieldsUsage count="1">
        <fieldUsage x="0"/>
      </fieldsUsage>
    </cacheHierarchy>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Products" uniqueName="[Products]" caption="Products"/>
    <dimension name="Sales_Transactions" uniqueName="[Sales_Transactions]" caption="Sales_Transactions"/>
  </dimensions>
  <measureGroups count="3">
    <measureGroup name="Customers" caption="Customers"/>
    <measureGroup name="Products" caption="Products"/>
    <measureGroup name="Sales_Transactions" caption="Sales_Transaction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 refreshedDate="46249.082296180553" backgroundQuery="1" createdVersion="3" refreshedVersion="8" minRefreshableVersion="3" recordCount="0" supportSubquery="1" supportAdvancedDrill="1" xr:uid="{B63E46CF-6B14-4877-86D4-D770057D0250}">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 Date]" caption="Join Date" attribute="1" time="1" defaultMemberUniqueName="[Customers].[Join Date].[All]" allUniqueName="[Customers].[Join Date].[All]" dimensionUniqueName="[Customers]" displayFolder="" count="0" memberValueDatatype="7" unbalanced="0"/>
    <cacheHierarchy uniqueName="[Customers].[Credit Limit ($)]" caption="Credit Limit ($)" attribute="1" defaultMemberUniqueName="[Customers].[Credit Limit ($)].[All]" allUniqueName="[Customers].[Credit Limit ($)].[All]" dimensionUniqueName="[Customers]" displayFolder="" count="0" memberValueDatatype="2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Products].[List Price]" caption="List Price" attribute="1" defaultMemberUniqueName="[Products].[List Price].[All]" allUniqueName="[Products].[List Price].[All]" dimensionUniqueName="[Products]" displayFolder="" count="0" memberValueDatatype="20" unbalanced="0"/>
    <cacheHierarchy uniqueName="[Products].[Markup %]" caption="Markup %" attribute="1" defaultMemberUniqueName="[Products].[Markup %].[All]" allUniqueName="[Products].[Markup %].[All]" dimensionUniqueName="[Products]" displayFolder="" count="0" memberValueDatatype="5" unbalanced="0"/>
    <cacheHierarchy uniqueName="[Products].[Gross Margin %]" caption="Gross Margin %" attribute="1" defaultMemberUniqueName="[Products].[Gross Margin %].[All]" allUniqueName="[Products].[Gross Margin %].[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Sales_Transactions].[OrderID]" caption="OrderID" attribute="1" defaultMemberUniqueName="[Sales_Transactions].[OrderID].[All]" allUniqueName="[Sales_Transactions].[OrderID].[All]" dimensionUniqueName="[Sales_Transactions]" displayFolder="" count="0" memberValueDatatype="130" unbalanced="0"/>
    <cacheHierarchy uniqueName="[Sales_Transactions].[OrderDate]" caption="OrderDate" attribute="1" time="1" defaultMemberUniqueName="[Sales_Transactions].[OrderDate].[All]" allUniqueName="[Sales_Transactions].[OrderDate].[All]" dimensionUniqueName="[Sales_Transactions]" displayFolder="" count="0" memberValueDatatype="7" unbalanced="0"/>
    <cacheHierarchy uniqueName="[Sales_Transactions].[CustomerID]" caption="CustomerID" attribute="1" defaultMemberUniqueName="[Sales_Transactions].[CustomerID].[All]" allUniqueName="[Sales_Transactions].[CustomerID].[All]" dimensionUniqueName="[Sales_Transactions]" displayFolder="" count="0" memberValueDatatype="130" unbalanced="0"/>
    <cacheHierarchy uniqueName="[Sales_Transactions].[ProductID]" caption="ProductID" attribute="1" defaultMemberUniqueName="[Sales_Transactions].[ProductID].[All]" allUniqueName="[Sales_Transactions].[Product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130" unbalanced="0"/>
    <cacheHierarchy uniqueName="[Sales_Transactions].[UnitPrice]" caption="UnitPrice" attribute="1" defaultMemberUniqueName="[Sales_Transactions].[UnitPrice].[All]" allUniqueName="[Sales_Transactions].[UnitPrice].[All]" dimensionUniqueName="[Sales_Transactions]" displayFolder="" count="0" memberValueDatatype="5" unbalanced="0"/>
    <cacheHierarchy uniqueName="[Sales_Transactions].[Discount]" caption="Discount" attribute="1" defaultMemberUniqueName="[Sales_Transactions].[Discount].[All]" allUniqueName="[Sales_Transactions].[Discount].[All]" dimensionUniqueName="[Sales_Transactions]" displayFolder="" count="0" memberValueDatatype="5" unbalanced="0"/>
    <cacheHierarchy uniqueName="[Sales_Transactions].[Region]" caption="Region" attribute="1" defaultMemberUniqueName="[Sales_Transactions].[Region].[All]" allUniqueName="[Sales_Transactions].[Region].[All]" dimensionUniqueName="[Sales_Transactions]" displayFolder="" count="2" memberValueDatatype="130" unbalanced="0"/>
    <cacheHierarchy uniqueName="[Sales_Transactions].[SalesPerson]" caption="SalesPerson" attribute="1" defaultMemberUniqueName="[Sales_Transactions].[SalesPerson].[All]" allUniqueName="[Sales_Transactions].[SalesPerson].[All]" dimensionUniqueName="[Sales_Transactions]" displayFolder="" count="0" memberValueDatatype="130" unbalanced="0"/>
    <cacheHierarchy uniqueName="[Sales_Transactions].[Status]" caption="Status" attribute="1" defaultMemberUniqueName="[Sales_Transactions].[Status].[All]" allUniqueName="[Sales_Transactions].[Status].[All]" dimensionUniqueName="[Sales_Transactions]" displayFolder="" count="2"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Sales_Transactions].[Sales]" caption="Sales" attribute="1" defaultMemberUniqueName="[Sales_Transactions].[Sales].[All]" allUniqueName="[Sales_Transactions].[Sales].[All]" dimensionUniqueName="[Sales_Transactions]" displayFolder="" count="0" memberValueDatatype="5" unbalanced="0"/>
    <cacheHierarchy uniqueName="[Sales_Transactions].[OrderDate (Year)]" caption="OrderDate (Year)" attribute="1" defaultMemberUniqueName="[Sales_Transactions].[OrderDate (Year)].[All]" allUniqueName="[Sales_Transactions].[OrderDate (Year)].[All]" dimensionUniqueName="[Sales_Transactions]" displayFolder="" count="2" memberValueDatatype="130" unbalanced="0"/>
    <cacheHierarchy uniqueName="[Sales_Transactions].[OrderDate (Quarter)]" caption="OrderDate (Quarter)" attribute="1" defaultMemberUniqueName="[Sales_Transactions].[OrderDate (Quarter)].[All]" allUniqueName="[Sales_Transactions].[OrderDate (Quarter)].[All]" dimensionUniqueName="[Sales_Transactions]" displayFolder="" count="0" memberValueDatatype="130" unbalanced="0"/>
    <cacheHierarchy uniqueName="[Sales_Transactions].[OrderDate (Month)]" caption="OrderDate (Month)" attribute="1" defaultMemberUniqueName="[Sales_Transactions].[OrderDate (Month)].[All]" allUniqueName="[Sales_Transactions].[OrderDate (Month)].[All]" dimensionUniqueName="[Sales_Transactions]" displayFolder="" count="0" memberValueDatatype="130" unbalanced="0"/>
    <cacheHierarchy uniqueName="[Sales_Transactions].[OrderDate (Month Index)]" caption="OrderDate (Month Index)" attribute="1" defaultMemberUniqueName="[Sales_Transactions].[OrderDate (Month Index)].[All]" allUniqueName="[Sales_Transactions].[OrderDate (Month Index)].[All]" dimensionUniqueName="[Sales_Transactions]" displayFolder="" count="0" memberValueDatatype="20" unbalanced="0" hidden="1"/>
    <cacheHierarchy uniqueName="[Measures].[Total Sales]" caption="Total Sales" measure="1" displayFolder="" measureGroup="Sales_Transactions" count="0"/>
    <cacheHierarchy uniqueName="[Measures].[Total Orders]" caption="Total Orders" measure="1" displayFolder="" measureGroup="Sales_Transactions" count="0"/>
    <cacheHierarchy uniqueName="[Measures].[Average Sales Price]" caption="Average Sales Price" measure="1" displayFolder="" measureGroup="Sales_Transactions" count="0"/>
    <cacheHierarchy uniqueName="[Measures].[Top Sales]" caption="Top Sales" measure="1" displayFolder="" measureGroup="Sales_Transactions" count="0"/>
    <cacheHierarchy uniqueName="[Measures].[__XL_Count Sales_Transactions]" caption="__XL_Count Sales_Transactions" measure="1" displayFolder="" measureGroup="Sales_Transaction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875564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467D6-25AA-41DC-931F-04360E16EE6A}" name="PivotTable6" cacheId="216" applyNumberFormats="0" applyBorderFormats="0" applyFontFormats="0" applyPatternFormats="0" applyAlignmentFormats="0" applyWidthHeightFormats="1" dataCaption="Values" tag="03e50924-72d5-4171-969e-e306975ff7e1" updatedVersion="8" minRefreshableVersion="3" useAutoFormatting="1" subtotalHiddenItems="1" itemPrintTitles="1" createdVersion="8" indent="0" outline="1" outlineData="1" multipleFieldFilters="0">
  <location ref="K15:K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6">
      <pivotArea outline="0" collapsedLevelsAreSubtotals="1" fieldPosition="0"/>
    </format>
  </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180AED-7373-41C1-949C-0354740CE7B0}" name="PivotTable7" cacheId="219" applyNumberFormats="0" applyBorderFormats="0" applyFontFormats="0" applyPatternFormats="0" applyAlignmentFormats="0" applyWidthHeightFormats="1" dataCaption="Values" tag="52f82930-7d24-48b9-a41e-fc920a8bf452" updatedVersion="8" minRefreshableVersion="3" useAutoFormatting="1" subtotalHiddenItems="1" itemPrintTitles="1" createdVersion="8" indent="0" outline="1" outlineData="1" multipleFieldFilters="0">
  <location ref="K18:K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DF4057-35AF-45D8-96DF-E04E805C7C41}" name="PivotTable2" cacheId="207" applyNumberFormats="0" applyBorderFormats="0" applyFontFormats="0" applyPatternFormats="0" applyAlignmentFormats="0" applyWidthHeightFormats="1" dataCaption="Values" tag="f54558c2-6fea-4eb3-8c70-36befdad1697" updatedVersion="8" minRefreshableVersion="3" useAutoFormatting="1" subtotalHiddenItems="1" itemPrintTitles="1" createdVersion="8" indent="0" outline="1" outlineData="1" multipleFieldFilters="0" chartFormat="13">
  <location ref="G2:H11"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2">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240EF3-11C5-4538-B813-9726EEBEEFAB}" name="PivotTable1" cacheId="204" applyNumberFormats="0" applyBorderFormats="0" applyFontFormats="0" applyPatternFormats="0" applyAlignmentFormats="0" applyWidthHeightFormats="1" dataCaption="Values" tag="117a9331-b916-48ce-93e4-8a49488b9ad8" updatedVersion="8" minRefreshableVersion="3" useAutoFormatting="1" subtotalHiddenItems="1" itemPrintTitles="1" createdVersion="8" indent="0" outline="1" outlineData="1" multipleFieldFilters="0" chartFormat="31">
  <location ref="C2:D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7">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0" count="1" selected="0">
            <x v="0"/>
          </reference>
        </references>
      </pivotArea>
    </chartFormat>
    <chartFormat chart="22" format="24">
      <pivotArea type="data" outline="0" fieldPosition="0">
        <references count="2">
          <reference field="4294967294" count="1" selected="0">
            <x v="0"/>
          </reference>
          <reference field="0" count="1" selected="0">
            <x v="1"/>
          </reference>
        </references>
      </pivotArea>
    </chartFormat>
    <chartFormat chart="22" format="25">
      <pivotArea type="data" outline="0" fieldPosition="0">
        <references count="2">
          <reference field="4294967294" count="1" selected="0">
            <x v="0"/>
          </reference>
          <reference field="0" count="1" selected="0">
            <x v="2"/>
          </reference>
        </references>
      </pivotArea>
    </chartFormat>
    <chartFormat chart="22" format="26">
      <pivotArea type="data" outline="0" fieldPosition="0">
        <references count="2">
          <reference field="4294967294" count="1" selected="0">
            <x v="0"/>
          </reference>
          <reference field="0" count="1" selected="0">
            <x v="3"/>
          </reference>
        </references>
      </pivotArea>
    </chartFormat>
    <chartFormat chart="22" format="27">
      <pivotArea type="data" outline="0" fieldPosition="0">
        <references count="2">
          <reference field="4294967294" count="1" selected="0">
            <x v="0"/>
          </reference>
          <reference field="0" count="1" selected="0">
            <x v="4"/>
          </reference>
        </references>
      </pivotArea>
    </chartFormat>
    <chartFormat chart="22" format="28">
      <pivotArea type="data" outline="0" fieldPosition="0">
        <references count="2">
          <reference field="4294967294" count="1" selected="0">
            <x v="0"/>
          </reference>
          <reference field="0" count="1" selected="0">
            <x v="5"/>
          </reference>
        </references>
      </pivotArea>
    </chartFormat>
  </chart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E83A52-1CA0-404E-B4C1-EB6B2E71BFE1}" name="PivotTable4" cacheId="210" applyNumberFormats="0" applyBorderFormats="0" applyFontFormats="0" applyPatternFormats="0" applyAlignmentFormats="0" applyWidthHeightFormats="1" dataCaption="Values" tag="bd48b85b-a937-446d-922a-17ee34a5a403" updatedVersion="8" minRefreshableVersion="3" useAutoFormatting="1" subtotalHiddenItems="1" itemPrintTitles="1" createdVersion="8" indent="0" outline="1" outlineData="1" multipleFieldFilters="0" chartFormat="9">
  <location ref="C15:D2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3">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1135D0-0517-442D-9284-CE02F092232D}" name="PivotTable9" cacheId="225" applyNumberFormats="0" applyBorderFormats="0" applyFontFormats="0" applyPatternFormats="0" applyAlignmentFormats="0" applyWidthHeightFormats="1" dataCaption="Values" tag="b219b586-572f-4a3c-8726-e5ea3075092a" updatedVersion="8" minRefreshableVersion="3" useAutoFormatting="1" subtotalHiddenItems="1" itemPrintTitles="1" createdVersion="8" indent="0" outline="1" outlineData="1" multipleFieldFilters="0">
  <location ref="K24:K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A5CC02-CFE4-4FE3-80DB-EBB78D363859}" name="PivotTable5" cacheId="213" applyNumberFormats="0" applyBorderFormats="0" applyFontFormats="0" applyPatternFormats="0" applyAlignmentFormats="0" applyWidthHeightFormats="1" dataCaption="Values" tag="fd208e72-4027-467e-8fa1-66a6c9893ae9" updatedVersion="8" minRefreshableVersion="3" useAutoFormatting="1" subtotalHiddenItems="1" itemPrintTitles="1" createdVersion="8" indent="0" outline="1" outlineData="1" multipleFieldFilters="0" chartFormat="13">
  <location ref="G15:H18" firstHeaderRow="1" firstDataRow="1" firstDataCol="1"/>
  <pivotFields count="3">
    <pivotField axis="axisRow"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8"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C8BD4B-8642-4C8F-BBE3-F1C0343F6DD5}" name="PivotTable3" cacheId="201" applyNumberFormats="0" applyBorderFormats="0" applyFontFormats="0" applyPatternFormats="0" applyAlignmentFormats="0" applyWidthHeightFormats="1" dataCaption="Values" tag="90f15196-7045-4e81-845b-94e23dc2e41f" updatedVersion="8" minRefreshableVersion="3" useAutoFormatting="1" subtotalHiddenItems="1" itemPrintTitles="1" createdVersion="8" indent="0" outline="1" outlineData="1" multipleFieldFilters="0" chartFormat="12">
  <location ref="K2:L8"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1"/>
    </i>
    <i>
      <x v="3"/>
    </i>
    <i>
      <x/>
    </i>
    <i>
      <x v="4"/>
    </i>
    <i>
      <x v="2"/>
    </i>
    <i t="grand">
      <x/>
    </i>
  </rowItems>
  <colItems count="1">
    <i/>
  </colItems>
  <dataFields count="1">
    <dataField fld="0" subtotal="count" baseField="0" baseItem="0"/>
  </dataFields>
  <chartFormats count="3">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90F5C1-AB4E-4536-988C-60917A1B87BB}" name="PivotTable8" cacheId="222" applyNumberFormats="0" applyBorderFormats="0" applyFontFormats="0" applyPatternFormats="0" applyAlignmentFormats="0" applyWidthHeightFormats="1" dataCaption="Values" tag="1d4ee222-7d99-4462-b74f-4bd040f2c18d" updatedVersion="8" minRefreshableVersion="3" useAutoFormatting="1" subtotalHiddenItems="1" itemPrintTitles="1" createdVersion="8" indent="0" outline="1" outlineData="1" multipleFieldFilters="0">
  <location ref="K21:K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7">
      <pivotArea outline="0" collapsedLevelsAreSubtotals="1" fieldPosition="0"/>
    </format>
  </formats>
  <pivotHierarchies count="4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081EF8-321A-47AA-8106-1F981B7D8DF1}" sourceName="[Sales_Transactions].[Reg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87556445">
      <levels count="2">
        <level uniqueName="[Sales_Transactions].[Region].[(All)]" sourceCaption="(All)" count="0"/>
        <level uniqueName="[Sales_Transactions].[Region].[Region]" sourceCaption="Region" count="6">
          <ranges>
            <range startItem="0">
              <i n="[Sales_Transactions].[Region].&amp;[Central]" c="Central"/>
              <i n="[Sales_Transactions].[Region].&amp;[East]" c="East"/>
              <i n="[Sales_Transactions].[Region].&amp;[Gulf]" c="Gulf"/>
              <i n="[Sales_Transactions].[Region].&amp;[North]" c="North"/>
              <i n="[Sales_Transactions].[Region].&amp;[South]" c="South"/>
              <i n="[Sales_Transactions].[Region].&amp;[West]" c="West"/>
            </range>
          </ranges>
        </level>
      </levels>
      <selections count="1">
        <selection n="[Sales_Transaction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E14A6F2-4117-4C1A-84E7-1517B9D6417F}" sourceName="[Sales_Transactions].[Status]">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8"/>
    <pivotTable tabId="1" name="PivotTable9"/>
  </pivotTables>
  <data>
    <olap pivotCacheId="2087556445">
      <levels count="2">
        <level uniqueName="[Sales_Transactions].[Status].[(All)]" sourceCaption="(All)" count="0"/>
        <level uniqueName="[Sales_Transactions].[Status].[Status]" sourceCaption="Status" count="5">
          <ranges>
            <range startItem="0">
              <i n="[Sales_Transactions].[Status].&amp;[Cancelled]" c="Cancelled"/>
              <i n="[Sales_Transactions].[Status].&amp;[Completed]" c="Completed"/>
              <i n="[Sales_Transactions].[Status].&amp;[In Progress]" c="In Progress"/>
              <i n="[Sales_Transactions].[Status].&amp;[Pending]" c="Pending"/>
              <i n="[Sales_Transactions].[Status].&amp;[Refunded]" c="Refunded"/>
            </range>
          </ranges>
        </level>
      </levels>
      <selections count="1">
        <selection n="[Sales_Transactions].[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04A7A5B7-C4DA-44B7-BF58-91633022DD55}" sourceName="[Sales_Transactions].[OrderDate (Year)]">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s>
  <data>
    <olap pivotCacheId="2087556445">
      <levels count="2">
        <level uniqueName="[Sales_Transactions].[OrderDate (Year)].[(All)]" sourceCaption="(All)" count="0"/>
        <level uniqueName="[Sales_Transactions].[OrderDate (Year)].[OrderDate (Year)]" sourceCaption="OrderDate (Year)" count="2">
          <ranges>
            <range startItem="0">
              <i n="[Sales_Transactions].[OrderDate (Year)].&amp;[2023]" c="2023"/>
              <i n="[Sales_Transactions].[OrderDate (Year)].&amp;[2024]" c="2024"/>
            </range>
          </ranges>
        </level>
      </levels>
      <selections count="1">
        <selection n="[Sales_Transactions].[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A8468C-A865-4AF7-84E2-C212051FBCBC}" cache="Slicer_Region" caption="Region" columnCount="2" level="1" style="Slicer Style 2" rowHeight="234950"/>
  <slicer name="Status" xr10:uid="{F117AD2D-AC57-496C-87AA-22072E7F99FB}" cache="Slicer_Status" caption="Status" columnCount="2" level="1" style="Slicer Style 2" rowHeight="234950"/>
  <slicer name="OrderDate (Year)" xr10:uid="{8D9CBB82-A72A-491C-99AC-7DB9B2FF1C39}" cache="Slicer_OrderDate__Year" caption="Year" columnCount="2" level="1" style="Slicer Style 2" rowHeight="27432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85F9B-D753-4F30-A94C-891E6665EFB3}">
  <dimension ref="A2:L25"/>
  <sheetViews>
    <sheetView zoomScaleNormal="100" workbookViewId="0"/>
  </sheetViews>
  <sheetFormatPr defaultRowHeight="14.4" x14ac:dyDescent="0.3"/>
  <cols>
    <col min="1" max="1" width="15" style="5" customWidth="1"/>
    <col min="2" max="2" width="12" customWidth="1"/>
    <col min="3" max="3" width="21.33203125" bestFit="1" customWidth="1"/>
    <col min="4" max="4" width="11.109375" bestFit="1" customWidth="1"/>
    <col min="5" max="5" width="12.6640625" bestFit="1" customWidth="1"/>
    <col min="7" max="7" width="12.5546875" bestFit="1" customWidth="1"/>
    <col min="8" max="9" width="12.6640625" bestFit="1" customWidth="1"/>
    <col min="11" max="11" width="12.44140625" bestFit="1" customWidth="1"/>
    <col min="12" max="12" width="12.6640625" bestFit="1" customWidth="1"/>
  </cols>
  <sheetData>
    <row r="2" spans="2:12" x14ac:dyDescent="0.3">
      <c r="B2" s="1"/>
      <c r="C2" s="1" t="s">
        <v>0</v>
      </c>
      <c r="D2" t="s">
        <v>1</v>
      </c>
      <c r="G2" s="1" t="s">
        <v>0</v>
      </c>
      <c r="H2" t="s">
        <v>1</v>
      </c>
      <c r="K2" s="1" t="s">
        <v>0</v>
      </c>
      <c r="L2" t="s">
        <v>1</v>
      </c>
    </row>
    <row r="3" spans="2:12" x14ac:dyDescent="0.3">
      <c r="B3" s="2"/>
      <c r="C3" s="2" t="s">
        <v>26</v>
      </c>
      <c r="D3" s="3">
        <v>203538.20799999996</v>
      </c>
      <c r="G3" s="2" t="s">
        <v>2</v>
      </c>
      <c r="H3" s="3">
        <v>153375.44349999996</v>
      </c>
      <c r="K3" s="2" t="s">
        <v>3</v>
      </c>
      <c r="L3" s="3">
        <v>1220049.1724999996</v>
      </c>
    </row>
    <row r="4" spans="2:12" x14ac:dyDescent="0.3">
      <c r="B4" s="2"/>
      <c r="C4" s="2" t="s">
        <v>4</v>
      </c>
      <c r="D4" s="3">
        <v>252625.95099999994</v>
      </c>
      <c r="G4" s="2" t="s">
        <v>5</v>
      </c>
      <c r="H4" s="3">
        <v>284542.48800000013</v>
      </c>
      <c r="K4" s="2" t="s">
        <v>6</v>
      </c>
      <c r="L4" s="3">
        <v>204928.96950000004</v>
      </c>
    </row>
    <row r="5" spans="2:12" x14ac:dyDescent="0.3">
      <c r="B5" s="2"/>
      <c r="C5" s="2" t="s">
        <v>27</v>
      </c>
      <c r="D5" s="3">
        <v>321433.68850000011</v>
      </c>
      <c r="G5" s="2" t="s">
        <v>7</v>
      </c>
      <c r="H5" s="3">
        <v>237250.96950000004</v>
      </c>
      <c r="K5" s="2" t="s">
        <v>8</v>
      </c>
      <c r="L5" s="3">
        <v>95360.284000000029</v>
      </c>
    </row>
    <row r="6" spans="2:12" x14ac:dyDescent="0.3">
      <c r="B6" s="2"/>
      <c r="C6" s="2" t="s">
        <v>28</v>
      </c>
      <c r="D6" s="3">
        <v>216794.17600000004</v>
      </c>
      <c r="G6" s="2" t="s">
        <v>9</v>
      </c>
      <c r="H6" s="3">
        <v>145806.01100000003</v>
      </c>
      <c r="K6" s="2" t="s">
        <v>10</v>
      </c>
      <c r="L6" s="3">
        <v>47283.116499999989</v>
      </c>
    </row>
    <row r="7" spans="2:12" x14ac:dyDescent="0.3">
      <c r="B7" s="2"/>
      <c r="C7" s="2" t="s">
        <v>29</v>
      </c>
      <c r="D7" s="3">
        <v>326599.84100000013</v>
      </c>
      <c r="G7" s="2" t="s">
        <v>11</v>
      </c>
      <c r="H7" s="3">
        <v>171524.89600000004</v>
      </c>
      <c r="K7" s="2" t="s">
        <v>31</v>
      </c>
      <c r="L7" s="3">
        <v>13283.172000000002</v>
      </c>
    </row>
    <row r="8" spans="2:12" x14ac:dyDescent="0.3">
      <c r="B8" s="2"/>
      <c r="C8" s="2" t="s">
        <v>30</v>
      </c>
      <c r="D8" s="3">
        <v>259912.85000000006</v>
      </c>
      <c r="G8" s="2" t="s">
        <v>12</v>
      </c>
      <c r="H8" s="3">
        <v>170791.11999999991</v>
      </c>
      <c r="K8" s="2" t="s">
        <v>13</v>
      </c>
      <c r="L8" s="3">
        <v>1580904.7144999981</v>
      </c>
    </row>
    <row r="9" spans="2:12" x14ac:dyDescent="0.3">
      <c r="B9" s="2"/>
      <c r="C9" s="2" t="s">
        <v>13</v>
      </c>
      <c r="D9" s="3">
        <v>1580904.7144999981</v>
      </c>
      <c r="G9" s="2" t="s">
        <v>14</v>
      </c>
      <c r="H9" s="3">
        <v>259515.25349999996</v>
      </c>
    </row>
    <row r="10" spans="2:12" x14ac:dyDescent="0.3">
      <c r="G10" s="2" t="s">
        <v>15</v>
      </c>
      <c r="H10" s="3">
        <v>158098.533</v>
      </c>
    </row>
    <row r="11" spans="2:12" x14ac:dyDescent="0.3">
      <c r="G11" s="2" t="s">
        <v>13</v>
      </c>
      <c r="H11" s="3">
        <v>1580904.7144999981</v>
      </c>
    </row>
    <row r="15" spans="2:12" x14ac:dyDescent="0.3">
      <c r="B15" s="1"/>
      <c r="C15" s="1" t="s">
        <v>0</v>
      </c>
      <c r="D15" t="s">
        <v>1</v>
      </c>
      <c r="G15" s="1" t="s">
        <v>0</v>
      </c>
      <c r="H15" t="s">
        <v>1</v>
      </c>
      <c r="K15" t="s">
        <v>16</v>
      </c>
    </row>
    <row r="16" spans="2:12" x14ac:dyDescent="0.3">
      <c r="B16" s="2"/>
      <c r="C16" s="2" t="s">
        <v>17</v>
      </c>
      <c r="D16" s="3">
        <v>108238.499</v>
      </c>
      <c r="G16" s="2" t="s">
        <v>23</v>
      </c>
      <c r="H16" s="3">
        <v>647254.52150000015</v>
      </c>
      <c r="K16" s="4">
        <v>287.9625974025974</v>
      </c>
    </row>
    <row r="17" spans="2:11" x14ac:dyDescent="0.3">
      <c r="B17" s="2"/>
      <c r="C17" s="2" t="s">
        <v>24</v>
      </c>
      <c r="D17" s="3">
        <v>204996.63649999999</v>
      </c>
      <c r="G17" s="2" t="s">
        <v>18</v>
      </c>
      <c r="H17" s="3">
        <v>933650.1929999995</v>
      </c>
    </row>
    <row r="18" spans="2:11" x14ac:dyDescent="0.3">
      <c r="B18" s="2"/>
      <c r="C18" s="2" t="s">
        <v>19</v>
      </c>
      <c r="D18" s="3">
        <v>96076.409000000029</v>
      </c>
      <c r="G18" s="2" t="s">
        <v>13</v>
      </c>
      <c r="H18" s="3">
        <v>1580904.7144999981</v>
      </c>
      <c r="K18" t="s">
        <v>20</v>
      </c>
    </row>
    <row r="19" spans="2:11" x14ac:dyDescent="0.3">
      <c r="B19" s="2"/>
      <c r="C19" s="2" t="s">
        <v>25</v>
      </c>
      <c r="D19" s="3">
        <v>173488.052</v>
      </c>
      <c r="K19" s="6">
        <v>450</v>
      </c>
    </row>
    <row r="20" spans="2:11" x14ac:dyDescent="0.3">
      <c r="B20" s="2"/>
      <c r="C20" s="2" t="s">
        <v>21</v>
      </c>
      <c r="D20" s="3">
        <v>255305.90849999999</v>
      </c>
    </row>
    <row r="21" spans="2:11" x14ac:dyDescent="0.3">
      <c r="B21" s="2"/>
      <c r="C21" s="2" t="s">
        <v>13</v>
      </c>
      <c r="D21" s="3">
        <v>838105.50499999954</v>
      </c>
      <c r="K21" t="s">
        <v>22</v>
      </c>
    </row>
    <row r="22" spans="2:11" x14ac:dyDescent="0.3">
      <c r="K22" s="4">
        <v>27613.530000000002</v>
      </c>
    </row>
    <row r="24" spans="2:11" x14ac:dyDescent="0.3">
      <c r="K24" t="s">
        <v>1</v>
      </c>
    </row>
    <row r="25" spans="2:11" x14ac:dyDescent="0.3">
      <c r="K25" s="3">
        <v>1580904.7144999981</v>
      </c>
    </row>
  </sheetData>
  <pageMargins left="0.7" right="0.7" top="0.75" bottom="0.75" header="0.3" footer="0.3"/>
  <pageSetup paperSize="9"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D283-838B-45AF-A014-A8E336893E54}">
  <dimension ref="A1:A9"/>
  <sheetViews>
    <sheetView showGridLines="0" showRowColHeaders="0" tabSelected="1" zoomScale="58" workbookViewId="0">
      <selection activeCell="AG17" sqref="AG17"/>
    </sheetView>
  </sheetViews>
  <sheetFormatPr defaultRowHeight="14.4" x14ac:dyDescent="0.3"/>
  <cols>
    <col min="1" max="1" width="21.21875" style="5" customWidth="1"/>
    <col min="2" max="2" width="12.88671875" customWidth="1"/>
    <col min="3" max="3" width="17" customWidth="1"/>
    <col min="4" max="4" width="11.21875" customWidth="1"/>
    <col min="5" max="5" width="12.109375" customWidth="1"/>
    <col min="6" max="6" width="13.6640625" customWidth="1"/>
    <col min="7" max="7" width="11.21875" customWidth="1"/>
    <col min="8" max="8" width="11.5546875" customWidth="1"/>
    <col min="9" max="9" width="10.21875" customWidth="1"/>
    <col min="10" max="10" width="14.21875" customWidth="1"/>
    <col min="11" max="12" width="10.77734375" customWidth="1"/>
    <col min="13" max="13" width="11.21875" customWidth="1"/>
  </cols>
  <sheetData>
    <row r="1" ht="31.8" customHeight="1" x14ac:dyDescent="0.3"/>
    <row r="7" ht="19.8" customHeight="1" x14ac:dyDescent="0.3"/>
    <row r="8" ht="24" customHeight="1" x14ac:dyDescent="0.3"/>
    <row r="9" ht="22.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lcf76f155ced4ddcb4097134ff3c332f xmlns="3a7adcae-65c4-40c3-9aa0-a06a237a69cf">
      <Terms xmlns="http://schemas.microsoft.com/office/infopath/2007/PartnerControls"/>
    </lcf76f155ced4ddcb4097134ff3c332f>
    <TaxCatchAll xmlns="0199476f-fc9d-481d-b35b-9c582ea7adbe"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F3809D80C15BAC498575421EE006608A" ma:contentTypeVersion="11" ma:contentTypeDescription="Create a new document." ma:contentTypeScope="" ma:versionID="3ba8ef12b5a3029df15c5657d93e99b2">
  <xsd:schema xmlns:xsd="http://www.w3.org/2001/XMLSchema" xmlns:xs="http://www.w3.org/2001/XMLSchema" xmlns:p="http://schemas.microsoft.com/office/2006/metadata/properties" xmlns:ns2="3a7adcae-65c4-40c3-9aa0-a06a237a69cf" xmlns:ns3="0199476f-fc9d-481d-b35b-9c582ea7adbe" targetNamespace="http://schemas.microsoft.com/office/2006/metadata/properties" ma:root="true" ma:fieldsID="c3dbb0f81bb22d49fa6e09ca7eec6b66" ns2:_="" ns3:_="">
    <xsd:import namespace="3a7adcae-65c4-40c3-9aa0-a06a237a69cf"/>
    <xsd:import namespace="0199476f-fc9d-481d-b35b-9c582ea7adb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7adcae-65c4-40c3-9aa0-a06a237a69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6e412c-a9d7-4c80-a31e-89c767ff280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199476f-fc9d-481d-b35b-9c582ea7adb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7facb64-dd3f-4f00-9663-fa74bdcdfc52}" ma:internalName="TaxCatchAll" ma:showField="CatchAllData" ma:web="0199476f-fc9d-481d-b35b-9c582ea7ad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4BDD22B5-13AC-4D21-BF97-62ED7E3929F3}">
  <ds:schemaRefs>
    <ds:schemaRef ds:uri="http://gemini/pivotcustomization/TableWidget"/>
  </ds:schemaRefs>
</ds:datastoreItem>
</file>

<file path=customXml/itemProps2.xml><?xml version="1.0" encoding="utf-8"?>
<ds:datastoreItem xmlns:ds="http://schemas.openxmlformats.org/officeDocument/2006/customXml" ds:itemID="{053D9F2A-74ED-402E-A6A6-08057206CEA0}">
  <ds:schemaRefs>
    <ds:schemaRef ds:uri="http://gemini/pivotcustomization/ShowImplicitMeasures"/>
  </ds:schemaRefs>
</ds:datastoreItem>
</file>

<file path=customXml/itemProps3.xml><?xml version="1.0" encoding="utf-8"?>
<ds:datastoreItem xmlns:ds="http://schemas.openxmlformats.org/officeDocument/2006/customXml" ds:itemID="{D22FA91D-2C28-45E0-8F3B-16E68DF92EF3}">
  <ds:schemaRefs>
    <ds:schemaRef ds:uri="http://gemini/pivotcustomization/117a9331-b916-48ce-93e4-8a49488b9ad8"/>
  </ds:schemaRefs>
</ds:datastoreItem>
</file>

<file path=customXml/itemProps4.xml><?xml version="1.0" encoding="utf-8"?>
<ds:datastoreItem xmlns:ds="http://schemas.openxmlformats.org/officeDocument/2006/customXml" ds:itemID="{2C811EB7-AA07-4D97-B86A-64F5C3FBD8FB}">
  <ds:schemaRefs>
    <ds:schemaRef ds:uri="http://gemini/pivotcustomization/ShowHidden"/>
  </ds:schemaRefs>
</ds:datastoreItem>
</file>

<file path=customXml/itemProps5.xml><?xml version="1.0" encoding="utf-8"?>
<ds:datastoreItem xmlns:ds="http://schemas.openxmlformats.org/officeDocument/2006/customXml" ds:itemID="{B2608E66-2345-4467-A59A-38C36F9FCA5D}">
  <ds:schemaRefs>
    <ds:schemaRef ds:uri="http://schemas.microsoft.com/sharepoint/v3/contenttype/forms"/>
  </ds:schemaRefs>
</ds:datastoreItem>
</file>

<file path=customXml/itemProps6.xml><?xml version="1.0" encoding="utf-8"?>
<ds:datastoreItem xmlns:ds="http://schemas.openxmlformats.org/officeDocument/2006/customXml" ds:itemID="{3C503933-4438-4FB1-881F-578E5F6894A3}">
  <ds:schemaRefs>
    <ds:schemaRef ds:uri="http://gemini/pivotcustomization/TableXML_Products_81a5d73e-ef51-4069-863b-4a7270f4745e"/>
  </ds:schemaRefs>
</ds:datastoreItem>
</file>

<file path=customXml/itemProps7.xml><?xml version="1.0" encoding="utf-8"?>
<ds:datastoreItem xmlns:ds="http://schemas.openxmlformats.org/officeDocument/2006/customXml" ds:itemID="{F52BF0E2-1CB4-452C-99FB-58D212488742}">
  <ds:schemaRefs>
    <ds:schemaRef ds:uri="http://gemini/pivotcustomization/fd208e72-4027-467e-8fa1-66a6c9893ae9"/>
  </ds:schemaRefs>
</ds:datastoreItem>
</file>

<file path=customXml/itemProps8.xml><?xml version="1.0" encoding="utf-8"?>
<ds:datastoreItem xmlns:ds="http://schemas.openxmlformats.org/officeDocument/2006/customXml" ds:itemID="{FD86970B-6C99-4EAE-A91E-7892A092ED4E}">
  <ds:schemaRefs>
    <ds:schemaRef ds:uri="http://schemas.microsoft.com/office/2006/metadata/properties"/>
    <ds:schemaRef ds:uri="http://schemas.microsoft.com/office/infopath/2007/PartnerControls"/>
    <ds:schemaRef ds:uri="3a7adcae-65c4-40c3-9aa0-a06a237a69cf"/>
    <ds:schemaRef ds:uri="0199476f-fc9d-481d-b35b-9c582ea7adbe"/>
  </ds:schemaRefs>
</ds:datastoreItem>
</file>

<file path=customXml/itemProps9.xml><?xml version="1.0" encoding="utf-8"?>
<ds:datastoreItem xmlns:ds="http://schemas.openxmlformats.org/officeDocument/2006/customXml" ds:itemID="{41B8240E-1B28-4A05-AEB7-B0DD0D01393A}">
  <ds:schemaRefs>
    <ds:schemaRef ds:uri="http://gemini/pivotcustomization/03e50924-72d5-4171-969e-e306975ff7e1"/>
  </ds:schemaRefs>
</ds:datastoreItem>
</file>

<file path=customXml/itemProps10.xml><?xml version="1.0" encoding="utf-8"?>
<ds:datastoreItem xmlns:ds="http://schemas.openxmlformats.org/officeDocument/2006/customXml" ds:itemID="{460477C3-BF4B-4E8E-BB7F-E431046FA34F}">
  <ds:schemaRefs>
    <ds:schemaRef ds:uri="http://gemini/pivotcustomization/TableOrder"/>
  </ds:schemaRefs>
</ds:datastoreItem>
</file>

<file path=customXml/itemProps11.xml><?xml version="1.0" encoding="utf-8"?>
<ds:datastoreItem xmlns:ds="http://schemas.openxmlformats.org/officeDocument/2006/customXml" ds:itemID="{F9C98047-414A-44CF-A3F4-273AA32581CE}">
  <ds:schemaRefs>
    <ds:schemaRef ds:uri="http://gemini/pivotcustomization/MeasureGridState"/>
  </ds:schemaRefs>
</ds:datastoreItem>
</file>

<file path=customXml/itemProps12.xml><?xml version="1.0" encoding="utf-8"?>
<ds:datastoreItem xmlns:ds="http://schemas.openxmlformats.org/officeDocument/2006/customXml" ds:itemID="{4830172A-C655-421B-9D3A-55C206129323}">
  <ds:schemaRefs>
    <ds:schemaRef ds:uri="http://gemini/pivotcustomization/1d4ee222-7d99-4462-b74f-4bd040f2c18d"/>
  </ds:schemaRefs>
</ds:datastoreItem>
</file>

<file path=customXml/itemProps13.xml><?xml version="1.0" encoding="utf-8"?>
<ds:datastoreItem xmlns:ds="http://schemas.openxmlformats.org/officeDocument/2006/customXml" ds:itemID="{F531D9BD-B582-4D2C-8F48-95A10DA92C2D}">
  <ds:schemaRefs>
    <ds:schemaRef ds:uri="http://gemini/pivotcustomization/TableXML_Sales_Transactions_a710bf9a-b4fa-4fbb-a109-cdd40f5cfd82"/>
  </ds:schemaRefs>
</ds:datastoreItem>
</file>

<file path=customXml/itemProps14.xml><?xml version="1.0" encoding="utf-8"?>
<ds:datastoreItem xmlns:ds="http://schemas.openxmlformats.org/officeDocument/2006/customXml" ds:itemID="{8A080FB5-DDE4-4335-8E62-BE70386B39BF}">
  <ds:schemaRefs>
    <ds:schemaRef ds:uri="http://gemini/pivotcustomization/ClientWindowXML"/>
  </ds:schemaRefs>
</ds:datastoreItem>
</file>

<file path=customXml/itemProps15.xml><?xml version="1.0" encoding="utf-8"?>
<ds:datastoreItem xmlns:ds="http://schemas.openxmlformats.org/officeDocument/2006/customXml" ds:itemID="{DACD711F-F50E-4DD1-A801-C54DA3975612}">
  <ds:schemaRefs>
    <ds:schemaRef ds:uri="http://gemini/pivotcustomization/Diagrams"/>
  </ds:schemaRefs>
</ds:datastoreItem>
</file>

<file path=customXml/itemProps16.xml><?xml version="1.0" encoding="utf-8"?>
<ds:datastoreItem xmlns:ds="http://schemas.openxmlformats.org/officeDocument/2006/customXml" ds:itemID="{542B7AC9-64CD-44C1-9A71-BEFACFC1C8DF}">
  <ds:schemaRefs>
    <ds:schemaRef ds:uri="http://gemini/pivotcustomization/52f82930-7d24-48b9-a41e-fc920a8bf452"/>
  </ds:schemaRefs>
</ds:datastoreItem>
</file>

<file path=customXml/itemProps17.xml><?xml version="1.0" encoding="utf-8"?>
<ds:datastoreItem xmlns:ds="http://schemas.openxmlformats.org/officeDocument/2006/customXml" ds:itemID="{2FA28F0B-EFA5-4E8E-AA5D-F23FA77EAA39}">
  <ds:schemaRefs>
    <ds:schemaRef ds:uri="http://gemini/pivotcustomization/90f15196-7045-4e81-845b-94e23dc2e41f"/>
  </ds:schemaRefs>
</ds:datastoreItem>
</file>

<file path=customXml/itemProps18.xml><?xml version="1.0" encoding="utf-8"?>
<ds:datastoreItem xmlns:ds="http://schemas.openxmlformats.org/officeDocument/2006/customXml" ds:itemID="{65DE51C1-1EB3-491C-BD43-91135A34F296}">
  <ds:schemaRefs>
    <ds:schemaRef ds:uri="http://gemini/pivotcustomization/SandboxNonEmpty"/>
  </ds:schemaRefs>
</ds:datastoreItem>
</file>

<file path=customXml/itemProps19.xml><?xml version="1.0" encoding="utf-8"?>
<ds:datastoreItem xmlns:ds="http://schemas.openxmlformats.org/officeDocument/2006/customXml" ds:itemID="{6238A873-9AC7-4B5E-B4B0-A1E016F1DC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7adcae-65c4-40c3-9aa0-a06a237a69cf"/>
    <ds:schemaRef ds:uri="0199476f-fc9d-481d-b35b-9c582ea7ad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0.xml><?xml version="1.0" encoding="utf-8"?>
<ds:datastoreItem xmlns:ds="http://schemas.openxmlformats.org/officeDocument/2006/customXml" ds:itemID="{C479C6D0-6CBC-49F1-8009-72737337C2DF}">
  <ds:schemaRefs>
    <ds:schemaRef ds:uri="http://gemini/pivotcustomization/f54558c2-6fea-4eb3-8c70-36befdad1697"/>
  </ds:schemaRefs>
</ds:datastoreItem>
</file>

<file path=customXml/itemProps21.xml><?xml version="1.0" encoding="utf-8"?>
<ds:datastoreItem xmlns:ds="http://schemas.openxmlformats.org/officeDocument/2006/customXml" ds:itemID="{E1A586DF-6341-4738-AB6A-A675558CB306}">
  <ds:schemaRefs>
    <ds:schemaRef ds:uri="http://gemini/pivotcustomization/FormulaBarState"/>
  </ds:schemaRefs>
</ds:datastoreItem>
</file>

<file path=customXml/itemProps22.xml><?xml version="1.0" encoding="utf-8"?>
<ds:datastoreItem xmlns:ds="http://schemas.openxmlformats.org/officeDocument/2006/customXml" ds:itemID="{8A0C6302-0AAB-4B94-A0EE-5058868C68EF}">
  <ds:schemaRefs>
    <ds:schemaRef ds:uri="http://schemas.microsoft.com/DataMashup"/>
  </ds:schemaRefs>
</ds:datastoreItem>
</file>

<file path=customXml/itemProps23.xml><?xml version="1.0" encoding="utf-8"?>
<ds:datastoreItem xmlns:ds="http://schemas.openxmlformats.org/officeDocument/2006/customXml" ds:itemID="{08000E39-340A-41D3-8E02-17B2515A45EC}">
  <ds:schemaRefs>
    <ds:schemaRef ds:uri="http://gemini/pivotcustomization/RelationshipAutoDetectionEnabled"/>
  </ds:schemaRefs>
</ds:datastoreItem>
</file>

<file path=customXml/itemProps24.xml><?xml version="1.0" encoding="utf-8"?>
<ds:datastoreItem xmlns:ds="http://schemas.openxmlformats.org/officeDocument/2006/customXml" ds:itemID="{4FCF508B-3A35-4245-A264-AA3133C9EB7A}">
  <ds:schemaRefs>
    <ds:schemaRef ds:uri="http://gemini/pivotcustomization/b219b586-572f-4a3c-8726-e5ea3075092a"/>
  </ds:schemaRefs>
</ds:datastoreItem>
</file>

<file path=customXml/itemProps25.xml><?xml version="1.0" encoding="utf-8"?>
<ds:datastoreItem xmlns:ds="http://schemas.openxmlformats.org/officeDocument/2006/customXml" ds:itemID="{1AF936CB-CC07-43EA-9710-DAAF9F1A8B70}">
  <ds:schemaRefs>
    <ds:schemaRef ds:uri="http://gemini/pivotcustomization/PowerPivotVersion"/>
  </ds:schemaRefs>
</ds:datastoreItem>
</file>

<file path=customXml/itemProps26.xml><?xml version="1.0" encoding="utf-8"?>
<ds:datastoreItem xmlns:ds="http://schemas.openxmlformats.org/officeDocument/2006/customXml" ds:itemID="{A415B881-3E65-4402-A672-708507AFE213}">
  <ds:schemaRefs>
    <ds:schemaRef ds:uri="http://gemini/pivotcustomization/bd48b85b-a937-446d-922a-17ee34a5a403"/>
  </ds:schemaRefs>
</ds:datastoreItem>
</file>

<file path=customXml/itemProps27.xml><?xml version="1.0" encoding="utf-8"?>
<ds:datastoreItem xmlns:ds="http://schemas.openxmlformats.org/officeDocument/2006/customXml" ds:itemID="{F8A26568-C1B2-428C-B454-65023E76C30D}">
  <ds:schemaRefs>
    <ds:schemaRef ds:uri="http://gemini/pivotcustomization/ErrorCache"/>
  </ds:schemaRefs>
</ds:datastoreItem>
</file>

<file path=customXml/itemProps28.xml><?xml version="1.0" encoding="utf-8"?>
<ds:datastoreItem xmlns:ds="http://schemas.openxmlformats.org/officeDocument/2006/customXml" ds:itemID="{88EAC936-B5DA-40B8-AC93-DFCD47C89210}">
  <ds:schemaRefs>
    <ds:schemaRef ds:uri="http://gemini/pivotcustomization/LinkedTableUpdateMode"/>
  </ds:schemaRefs>
</ds:datastoreItem>
</file>

<file path=customXml/itemProps29.xml><?xml version="1.0" encoding="utf-8"?>
<ds:datastoreItem xmlns:ds="http://schemas.openxmlformats.org/officeDocument/2006/customXml" ds:itemID="{6D81320A-925F-49CF-A510-2620366B2C50}">
  <ds:schemaRefs>
    <ds:schemaRef ds:uri="http://gemini/pivotcustomization/4c6705f2-678e-419f-b422-fe0c0db9b1e5"/>
  </ds:schemaRefs>
</ds:datastoreItem>
</file>

<file path=customXml/itemProps30.xml><?xml version="1.0" encoding="utf-8"?>
<ds:datastoreItem xmlns:ds="http://schemas.openxmlformats.org/officeDocument/2006/customXml" ds:itemID="{EFD12A3A-5553-4D70-B366-EEC42F131A21}">
  <ds:schemaRefs>
    <ds:schemaRef ds:uri="http://gemini/pivotcustomization/TableXML_Customers_c2c6aeac-32c6-4a5d-8753-2ac46af4869d"/>
  </ds:schemaRefs>
</ds:datastoreItem>
</file>

<file path=customXml/itemProps31.xml><?xml version="1.0" encoding="utf-8"?>
<ds:datastoreItem xmlns:ds="http://schemas.openxmlformats.org/officeDocument/2006/customXml" ds:itemID="{EE7B551D-CE51-4180-AB20-936F5FE3965A}">
  <ds:schemaRefs>
    <ds:schemaRef ds:uri="http://gemini/pivotcustomization/ManualCalcMode"/>
  </ds:schemaRefs>
</ds:datastoreItem>
</file>

<file path=customXml/itemProps32.xml><?xml version="1.0" encoding="utf-8"?>
<ds:datastoreItem xmlns:ds="http://schemas.openxmlformats.org/officeDocument/2006/customXml" ds:itemID="{27C987DA-6819-4092-A240-DBA93A3AC564}">
  <ds:schemaRefs>
    <ds:schemaRef ds:uri="http://gemini/pivotcustomization/IsSandboxEmbedd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 </vt:lpstr>
      <vt:lpstr>Dashboard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Mostafa</dc:creator>
  <cp:keywords/>
  <dc:description/>
  <cp:lastModifiedBy>Mariam Mostafa</cp:lastModifiedBy>
  <cp:revision/>
  <dcterms:created xsi:type="dcterms:W3CDTF">2026-08-12T20:37:46Z</dcterms:created>
  <dcterms:modified xsi:type="dcterms:W3CDTF">2026-08-15T23:46:48Z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0x010100F3809D80C15BAC498575421EE006608A</vt:lpwstr>
  </property>
</Properties>
</file>